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6" activeTab="9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Daily Item Sales" sheetId="2" state="visible" r:id="rId2"/>
    <sheet xmlns:r="http://schemas.openxmlformats.org/officeDocument/2006/relationships" name="Observation Log" sheetId="3" state="visible" r:id="rId3"/>
    <sheet xmlns:r="http://schemas.openxmlformats.org/officeDocument/2006/relationships" name="Forecasting Calcs" sheetId="4" state="visible" r:id="rId4"/>
    <sheet xmlns:r="http://schemas.openxmlformats.org/officeDocument/2006/relationships" name="ABC Analysis" sheetId="5" state="visible" r:id="rId5"/>
    <sheet xmlns:r="http://schemas.openxmlformats.org/officeDocument/2006/relationships" name="EOQ &amp; Reorder Point" sheetId="6" state="visible" r:id="rId6"/>
    <sheet xmlns:r="http://schemas.openxmlformats.org/officeDocument/2006/relationships" name="Formula Derivations" sheetId="7" state="visible" r:id="rId7"/>
    <sheet xmlns:r="http://schemas.openxmlformats.org/officeDocument/2006/relationships" name="Queueing Analysis" sheetId="8" state="visible" r:id="rId8"/>
    <sheet xmlns:r="http://schemas.openxmlformats.org/officeDocument/2006/relationships" name="Key Findings Summary" sheetId="9" state="visible" r:id="rId9"/>
    <sheet xmlns:r="http://schemas.openxmlformats.org/officeDocument/2006/relationships" name="Data Note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2">
    <font>
      <name val="Calibri"/>
      <charset val="1"/>
      <family val="2"/>
      <color theme="1"/>
      <sz val="11"/>
    </font>
    <font>
      <name val="Calibri"/>
      <charset val="1"/>
      <b val="1"/>
      <color rgb="FFFFFFFF"/>
      <sz val="14"/>
    </font>
    <font>
      <name val="Calibri"/>
      <charset val="1"/>
      <b val="1"/>
      <color rgb="FFFFFFFF"/>
      <sz val="10"/>
    </font>
    <font>
      <name val="Calibri"/>
      <charset val="1"/>
      <b val="1"/>
      <color rgb="FF2D2D2D"/>
      <sz val="11"/>
    </font>
    <font>
      <name val="Calibri"/>
      <charset val="1"/>
      <color rgb="FF2D2D2D"/>
      <sz val="10"/>
    </font>
    <font>
      <name val="Calibri"/>
      <charset val="1"/>
      <b val="1"/>
      <color rgb="FF2D2D2D"/>
      <sz val="10"/>
    </font>
    <font>
      <name val="Calibri"/>
      <charset val="1"/>
      <b val="1"/>
      <color rgb="FF5C7A5C"/>
      <sz val="10"/>
    </font>
    <font>
      <name val="Calibri"/>
      <charset val="1"/>
      <b val="1"/>
      <color rgb="FFFFFFFF"/>
      <sz val="11"/>
    </font>
    <font>
      <name val="Calibri"/>
      <charset val="1"/>
      <i val="1"/>
      <color rgb="FF666666"/>
      <sz val="9"/>
    </font>
    <font>
      <name val="Calibri"/>
      <charset val="1"/>
      <i val="1"/>
      <color rgb="FF555555"/>
      <sz val="9"/>
    </font>
    <font>
      <name val="Calibri"/>
      <charset val="1"/>
      <color rgb="FF2D2D2D"/>
      <sz val="9"/>
    </font>
    <font>
      <name val="Calibri"/>
      <charset val="1"/>
      <b val="1"/>
      <color rgb="FFFFFFFF"/>
      <sz val="9"/>
    </font>
    <font>
      <name val="Calibri"/>
      <charset val="1"/>
      <b val="1"/>
      <color rgb="FF7B5800"/>
      <sz val="10"/>
    </font>
    <font>
      <name val="Calibri"/>
      <charset val="1"/>
      <b val="1"/>
      <color rgb="FF1E4D1E"/>
      <sz val="10"/>
    </font>
    <font>
      <name val="Calibri"/>
      <charset val="1"/>
      <b val="1"/>
      <color rgb="FF6B3D00"/>
      <sz val="10"/>
    </font>
    <font>
      <name val="Calibri"/>
      <charset val="1"/>
      <color rgb="FF6B3D00"/>
      <sz val="9"/>
    </font>
    <font>
      <name val="Calibri"/>
      <charset val="1"/>
      <color rgb="FF1E4D1E"/>
      <sz val="9"/>
    </font>
    <font>
      <name val="Calibri"/>
      <charset val="1"/>
      <b val="1"/>
      <color rgb="FF2D2D5A"/>
      <sz val="10"/>
    </font>
    <font>
      <name val="Calibri"/>
      <charset val="1"/>
      <color rgb="FF2D2D5A"/>
      <sz val="9"/>
    </font>
    <font>
      <name val="Calibri"/>
      <charset val="1"/>
      <b val="1"/>
      <color rgb="FF2D2D2D"/>
      <sz val="9"/>
    </font>
    <font>
      <name val="Courier New"/>
      <charset val="1"/>
      <color rgb="FF2D2D2D"/>
      <sz val="10"/>
    </font>
    <font>
      <name val="Courier New"/>
      <charset val="1"/>
      <color rgb="FF2D2D2D"/>
      <sz val="9"/>
    </font>
    <font>
      <name val="Calibri"/>
      <charset val="1"/>
      <color rgb="FF666666"/>
      <sz val="9"/>
    </font>
    <font>
      <name val="Courier New"/>
      <charset val="1"/>
      <b val="1"/>
      <color rgb="FF2D2D2D"/>
      <sz val="9"/>
    </font>
    <font>
      <name val="Calibri"/>
      <charset val="1"/>
      <b val="1"/>
      <color rgb="FFFFFFFF"/>
      <sz val="12"/>
    </font>
    <font>
      <name val="Calibri"/>
      <charset val="1"/>
      <b val="1"/>
      <color rgb="FF6B3D00"/>
      <sz val="11"/>
    </font>
    <font>
      <name val="Calibri"/>
      <charset val="1"/>
      <b val="1"/>
      <color rgb="FF1E4D1E"/>
      <sz val="11"/>
    </font>
    <font>
      <name val="Calibri"/>
      <charset val="1"/>
      <b val="1"/>
      <color rgb="FF2D2D5A"/>
      <sz val="11"/>
    </font>
    <font>
      <name val="Calibri"/>
      <charset val="1"/>
      <b val="1"/>
      <color rgb="FFC00000"/>
      <sz val="10"/>
    </font>
    <font>
      <name val="Calibri"/>
      <charset val="1"/>
      <b val="1"/>
      <color rgb="FF5C7A5C"/>
      <sz val="12"/>
    </font>
    <font>
      <name val="Calibri"/>
      <charset val="1"/>
      <b val="1"/>
      <color rgb="FFAAAAAA"/>
      <sz val="12"/>
    </font>
    <font>
      <name val="Calibri"/>
      <charset val="1"/>
      <color rgb="FF444444"/>
      <sz val="10"/>
    </font>
  </fonts>
  <fills count="23">
    <fill>
      <patternFill/>
    </fill>
    <fill>
      <patternFill patternType="gray125"/>
    </fill>
    <fill>
      <patternFill patternType="solid">
        <fgColor rgb="FF2D2D2D"/>
        <bgColor rgb="FF2D2D5A"/>
      </patternFill>
    </fill>
    <fill>
      <patternFill patternType="solid">
        <fgColor rgb="FF5C7A5C"/>
        <bgColor rgb="FF666666"/>
      </patternFill>
    </fill>
    <fill>
      <patternFill patternType="solid">
        <fgColor rgb="FF4A5568"/>
        <bgColor rgb="FF555555"/>
      </patternFill>
    </fill>
    <fill>
      <patternFill patternType="solid">
        <fgColor rgb="FFF7F4EF"/>
        <bgColor rgb="FFFBF0F0"/>
      </patternFill>
    </fill>
    <fill>
      <patternFill patternType="solid">
        <fgColor rgb="FFFFFFFF"/>
        <bgColor rgb="FFF7F4EF"/>
      </patternFill>
    </fill>
    <fill>
      <patternFill patternType="solid">
        <fgColor rgb="FFEDE8DF"/>
        <bgColor rgb="FFF2E8D5"/>
      </patternFill>
    </fill>
    <fill>
      <patternFill patternType="solid">
        <fgColor rgb="FFFDF0E0"/>
        <bgColor rgb="FFFAF0D7"/>
      </patternFill>
    </fill>
    <fill>
      <patternFill patternType="solid">
        <fgColor rgb="FFEAF4EA"/>
        <bgColor rgb="FFE8F4E8"/>
      </patternFill>
    </fill>
    <fill>
      <patternFill patternType="solid">
        <fgColor rgb="FFEEF4FB"/>
        <bgColor rgb="FFF0EEF8"/>
      </patternFill>
    </fill>
    <fill>
      <patternFill patternType="solid">
        <fgColor rgb="FFFBF0F0"/>
        <bgColor rgb="FFF7F4EF"/>
      </patternFill>
    </fill>
    <fill>
      <patternFill patternType="solid">
        <fgColor rgb="FFF4EAFB"/>
        <bgColor rgb="FFF0EEF8"/>
      </patternFill>
    </fill>
    <fill>
      <patternFill patternType="solid">
        <fgColor rgb="FFFDF6E3"/>
        <bgColor rgb="FFFDF0E0"/>
      </patternFill>
    </fill>
    <fill>
      <patternFill patternType="solid">
        <fgColor rgb="FFE8F4E8"/>
        <bgColor rgb="FFEAF4EA"/>
      </patternFill>
    </fill>
    <fill>
      <patternFill patternType="solid">
        <fgColor rgb="FFF0EEF8"/>
        <bgColor rgb="FFF4EAFB"/>
      </patternFill>
    </fill>
    <fill>
      <patternFill patternType="solid">
        <fgColor rgb="FFD4E6D4"/>
        <bgColor rgb="FFD9ECD9"/>
      </patternFill>
    </fill>
    <fill>
      <patternFill patternType="solid">
        <fgColor rgb="FF7B5800"/>
        <bgColor rgb="FF6B3D00"/>
      </patternFill>
    </fill>
    <fill>
      <patternFill patternType="solid">
        <fgColor rgb="FFFFF3CD"/>
        <bgColor rgb="FFFAF0D7"/>
      </patternFill>
    </fill>
    <fill>
      <patternFill patternType="solid">
        <fgColor rgb="FFF2E8D5"/>
        <bgColor rgb="FFEDE8DF"/>
      </patternFill>
    </fill>
    <fill>
      <patternFill patternType="solid">
        <fgColor rgb="FFD9ECD9"/>
        <bgColor rgb="FFD4E6D4"/>
      </patternFill>
    </fill>
    <fill>
      <patternFill patternType="solid">
        <fgColor rgb="FFE8E8F0"/>
        <bgColor rgb="FFEDE8DF"/>
      </patternFill>
    </fill>
    <fill>
      <patternFill patternType="solid">
        <fgColor rgb="FFFAF0D7"/>
        <bgColor rgb="FFFDF0E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A898"/>
      </left>
      <right style="thin">
        <color rgb="FFB0A898"/>
      </right>
      <top style="thin">
        <color rgb="FFB0A898"/>
      </top>
      <bottom style="thin">
        <color rgb="FFB0A898"/>
      </bottom>
      <diagonal/>
    </border>
    <border>
      <left style="thin">
        <color rgb="FFB0A898"/>
      </left>
      <right/>
      <top style="thin">
        <color rgb="FFB0A898"/>
      </top>
      <bottom style="thin">
        <color rgb="FFB0A898"/>
      </bottom>
      <diagonal/>
    </border>
    <border>
      <left/>
      <right/>
      <top/>
      <bottom style="thin">
        <color rgb="FFB0A89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B0A898"/>
      </top>
      <bottom/>
      <diagonal/>
    </border>
    <border>
      <left/>
      <right/>
      <top style="thin">
        <color rgb="FFB0A898"/>
      </top>
      <bottom style="thin">
        <color rgb="FFB0A898"/>
      </bottom>
      <diagonal/>
    </border>
    <border>
      <left/>
      <right style="thin">
        <color rgb="FFB0A898"/>
      </right>
      <top style="thin">
        <color rgb="FFB0A898"/>
      </top>
      <bottom/>
      <diagonal/>
    </border>
    <border>
      <left/>
      <right style="thin">
        <color rgb="FFB0A898"/>
      </right>
      <top style="thin">
        <color rgb="FFB0A898"/>
      </top>
      <bottom style="thin">
        <color rgb="FFB0A898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2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164" fontId="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164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164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/>
    </xf>
    <xf numFmtId="164" fontId="4" fillId="1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left" vertical="center"/>
    </xf>
    <xf numFmtId="0" fontId="11" fillId="3" borderId="2" pivotButton="0" quotePrefix="0" xfId="0"/>
    <xf numFmtId="164" fontId="11" fillId="3" borderId="2" pivotButton="0" quotePrefix="0" xfId="0"/>
    <xf numFmtId="0" fontId="10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/>
    </xf>
    <xf numFmtId="0" fontId="10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5" fillId="1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2" fillId="17" borderId="2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/>
    </xf>
    <xf numFmtId="0" fontId="13" fillId="16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center" vertical="center"/>
    </xf>
    <xf numFmtId="10" fontId="4" fillId="6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15" fillId="19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center" vertical="center"/>
    </xf>
    <xf numFmtId="10" fontId="4" fillId="5" borderId="2" applyAlignment="1" pivotButton="0" quotePrefix="0" xfId="0">
      <alignment horizontal="center" vertical="center"/>
    </xf>
    <xf numFmtId="0" fontId="13" fillId="20" borderId="2" applyAlignment="1" pivotButton="0" quotePrefix="0" xfId="0">
      <alignment horizontal="center" vertical="center"/>
    </xf>
    <xf numFmtId="0" fontId="16" fillId="20" borderId="2" applyAlignment="1" pivotButton="0" quotePrefix="0" xfId="0">
      <alignment horizontal="left" vertical="center"/>
    </xf>
    <xf numFmtId="0" fontId="17" fillId="21" borderId="2" applyAlignment="1" pivotButton="0" quotePrefix="0" xfId="0">
      <alignment horizontal="center" vertical="center"/>
    </xf>
    <xf numFmtId="0" fontId="18" fillId="21" borderId="2" applyAlignment="1" pivotButton="0" quotePrefix="0" xfId="0">
      <alignment horizontal="left" vertical="center"/>
    </xf>
    <xf numFmtId="0" fontId="14" fillId="19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7" fillId="21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3" fillId="2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16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center" vertical="center"/>
    </xf>
    <xf numFmtId="0" fontId="26" fillId="20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28" fillId="22" borderId="1" applyAlignment="1" pivotButton="0" quotePrefix="0" xfId="0">
      <alignment horizontal="center" vertical="center"/>
    </xf>
    <xf numFmtId="0" fontId="0" fillId="0" borderId="7" pivotButton="0" quotePrefix="0" xfId="0"/>
    <xf numFmtId="0" fontId="7" fillId="3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 wrapText="1"/>
    </xf>
    <xf numFmtId="0" fontId="6" fillId="16" borderId="5" applyAlignment="1" pivotButton="0" quotePrefix="0" xfId="0">
      <alignment horizontal="left" vertical="center"/>
    </xf>
    <xf numFmtId="0" fontId="15" fillId="19" borderId="1" applyAlignment="1" pivotButton="0" quotePrefix="0" xfId="0">
      <alignment horizontal="left" vertical="center"/>
    </xf>
    <xf numFmtId="0" fontId="16" fillId="20" borderId="1" applyAlignment="1" pivotButton="0" quotePrefix="0" xfId="0">
      <alignment horizontal="left" vertical="center"/>
    </xf>
    <xf numFmtId="0" fontId="18" fillId="21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2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/>
    </xf>
    <xf numFmtId="0" fontId="15" fillId="19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28" fillId="2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1" fillId="6" borderId="1" applyAlignment="1" pivotButton="0" quotePrefix="0" xfId="0">
      <alignment horizontal="left" vertical="center" wrapText="1"/>
    </xf>
    <xf numFmtId="0" fontId="6" fillId="16" borderId="8" applyAlignment="1" pivotButton="0" quotePrefix="0" xfId="0">
      <alignment horizontal="left" vertical="center"/>
    </xf>
    <xf numFmtId="0" fontId="6" fillId="16" borderId="6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DF0E0"/>
      <rgbColor rgb="FFFF00FF"/>
      <rgbColor rgb="FF00FFFF"/>
      <rgbColor rgb="FF800000"/>
      <rgbColor rgb="FF008000"/>
      <rgbColor rgb="FF000080"/>
      <rgbColor rgb="FF7B5800"/>
      <rgbColor rgb="FF800080"/>
      <rgbColor rgb="FF008080"/>
      <rgbColor rgb="FFAAAAAA"/>
      <rgbColor rgb="FF5C7A5C"/>
      <rgbColor rgb="FFF0EEF8"/>
      <rgbColor rgb="FF555555"/>
      <rgbColor rgb="FFFFF3CD"/>
      <rgbColor rgb="FFE8F4E8"/>
      <rgbColor rgb="FF660066"/>
      <rgbColor rgb="FFF7F4EF"/>
      <rgbColor rgb="FF0066CC"/>
      <rgbColor rgb="FFD4E6D4"/>
      <rgbColor rgb="FF000080"/>
      <rgbColor rgb="FFFF00FF"/>
      <rgbColor rgb="FFFDF6E3"/>
      <rgbColor rgb="FF00FFFF"/>
      <rgbColor rgb="FF800080"/>
      <rgbColor rgb="FF800000"/>
      <rgbColor rgb="FF008080"/>
      <rgbColor rgb="FF0000FF"/>
      <rgbColor rgb="FF00CCFF"/>
      <rgbColor rgb="FFEAF4EA"/>
      <rgbColor rgb="FFD9ECD9"/>
      <rgbColor rgb="FFFAF0D7"/>
      <rgbColor rgb="FFE8E8F0"/>
      <rgbColor rgb="FFEDE8DF"/>
      <rgbColor rgb="FFF4EAFB"/>
      <rgbColor rgb="FFF2E8D5"/>
      <rgbColor rgb="FF3366FF"/>
      <rgbColor rgb="FF33CCCC"/>
      <rgbColor rgb="FFEEF4FB"/>
      <rgbColor rgb="FFFBF0F0"/>
      <rgbColor rgb="FFFF9900"/>
      <rgbColor rgb="FFFF6600"/>
      <rgbColor rgb="FF666666"/>
      <rgbColor rgb="FFB0A898"/>
      <rgbColor rgb="FF444444"/>
      <rgbColor rgb="FF339966"/>
      <rgbColor rgb="FF003300"/>
      <rgbColor rgb="FF1E4D1E"/>
      <rgbColor rgb="FF6B3D00"/>
      <rgbColor rgb="FF4A5568"/>
      <rgbColor rgb="FF2D2D5A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topLeftCell="A12" zoomScaleNormal="100" workbookViewId="0">
      <selection activeCell="I30" sqref="I30"/>
    </sheetView>
  </sheetViews>
  <sheetFormatPr baseColWidth="8" defaultColWidth="8.6640625" defaultRowHeight="14.4"/>
  <cols>
    <col width="2" customWidth="1" min="1" max="1"/>
    <col width="8" customWidth="1" min="2" max="2"/>
    <col width="22" customWidth="1" min="3" max="3"/>
    <col width="14" customWidth="1" min="4" max="9"/>
  </cols>
  <sheetData>
    <row r="1" ht="6" customHeight="1"/>
    <row r="2" ht="51.75" customHeight="1">
      <c r="B2" s="14" t="inlineStr">
        <is>
          <t>APPENDIX — RAW DATA &amp; OBSERVATION RECORDS
GIKAFE Campus Cafeteria  |  MS-492 Operations Management</t>
        </is>
      </c>
    </row>
    <row r="3" ht="25.5" customHeight="1">
      <c r="B3" s="13" t="inlineStr">
        <is>
          <t>GIK Institute of Engineering Sciences &amp; Technology  |  Spring 2026</t>
        </is>
      </c>
    </row>
    <row r="4" ht="7.5" customHeight="1"/>
    <row r="5" ht="19.5" customHeight="1">
      <c r="B5" s="12" t="inlineStr">
        <is>
          <t>GROUP MEMBERS</t>
        </is>
      </c>
      <c r="C5" s="121" t="n"/>
      <c r="D5" s="121" t="n"/>
      <c r="E5" s="121" t="n"/>
      <c r="F5" s="121" t="n"/>
      <c r="G5" s="121" t="n"/>
      <c r="H5" s="121" t="n"/>
      <c r="I5" s="122" t="n"/>
    </row>
    <row r="6" ht="21.75" customHeight="1">
      <c r="B6" s="11" t="inlineStr">
        <is>
          <t>Ahmed Musharaf</t>
        </is>
      </c>
      <c r="C6" s="121" t="n"/>
      <c r="D6" s="121" t="n"/>
      <c r="E6" s="121" t="n"/>
      <c r="F6" s="122" t="n"/>
      <c r="G6" s="15" t="inlineStr">
        <is>
          <t>Reg# 2022067</t>
        </is>
      </c>
      <c r="H6" s="121" t="n"/>
      <c r="I6" s="122" t="n"/>
    </row>
    <row r="7" ht="21.75" customHeight="1">
      <c r="B7" s="9" t="inlineStr">
        <is>
          <t>Umar Mushtaq Mughal</t>
        </is>
      </c>
      <c r="C7" s="121" t="n"/>
      <c r="D7" s="121" t="n"/>
      <c r="E7" s="121" t="n"/>
      <c r="F7" s="122" t="n"/>
      <c r="G7" s="16" t="inlineStr">
        <is>
          <t>Reg# 2022602</t>
        </is>
      </c>
      <c r="H7" s="121" t="n"/>
      <c r="I7" s="122" t="n"/>
    </row>
    <row r="8"/>
    <row r="9" ht="19.5" customHeight="1">
      <c r="B9" s="12" t="inlineStr">
        <is>
          <t>PROJECT INFORMATION</t>
        </is>
      </c>
      <c r="C9" s="121" t="n"/>
      <c r="D9" s="121" t="n"/>
      <c r="E9" s="121" t="n"/>
      <c r="F9" s="121" t="n"/>
      <c r="G9" s="121" t="n"/>
      <c r="H9" s="121" t="n"/>
      <c r="I9" s="122" t="n"/>
    </row>
    <row r="10" ht="21.75" customHeight="1">
      <c r="B10" s="7" t="inlineStr">
        <is>
          <t>Instructor</t>
        </is>
      </c>
      <c r="C10" s="122" t="n"/>
      <c r="D10" s="17" t="inlineStr">
        <is>
          <t>Dr. Muhammad Suhaib</t>
        </is>
      </c>
      <c r="E10" s="121" t="n"/>
      <c r="F10" s="121" t="n"/>
      <c r="G10" s="121" t="n"/>
      <c r="H10" s="121" t="n"/>
      <c r="I10" s="122" t="n"/>
    </row>
    <row r="11" ht="21.75" customHeight="1">
      <c r="B11" s="7" t="inlineStr">
        <is>
          <t>Course</t>
        </is>
      </c>
      <c r="C11" s="122" t="n"/>
      <c r="D11" s="18" t="inlineStr">
        <is>
          <t>MS-492 — Operations Management</t>
        </is>
      </c>
      <c r="E11" s="121" t="n"/>
      <c r="F11" s="121" t="n"/>
      <c r="G11" s="121" t="n"/>
      <c r="H11" s="121" t="n"/>
      <c r="I11" s="122" t="n"/>
    </row>
    <row r="12" ht="21.75" customHeight="1">
      <c r="B12" s="7" t="inlineStr">
        <is>
          <t>Setting</t>
        </is>
      </c>
      <c r="C12" s="122" t="n"/>
      <c r="D12" s="17" t="inlineStr">
        <is>
          <t>Campus Cafeteria — GIKAFE, GIK Institute</t>
        </is>
      </c>
      <c r="E12" s="121" t="n"/>
      <c r="F12" s="121" t="n"/>
      <c r="G12" s="121" t="n"/>
      <c r="H12" s="121" t="n"/>
      <c r="I12" s="122" t="n"/>
    </row>
    <row r="13" ht="21.75" customHeight="1">
      <c r="B13" s="7" t="inlineStr">
        <is>
          <t>Observation Days</t>
        </is>
      </c>
      <c r="C13" s="122" t="n"/>
      <c r="D13" s="18" t="inlineStr">
        <is>
          <t>Friday 8-May / Saturday 9-May / Sunday 10-May 2026</t>
        </is>
      </c>
      <c r="E13" s="121" t="n"/>
      <c r="F13" s="121" t="n"/>
      <c r="G13" s="121" t="n"/>
      <c r="H13" s="121" t="n"/>
      <c r="I13" s="122" t="n"/>
    </row>
    <row r="14" ht="21.75" customHeight="1">
      <c r="B14" s="7" t="inlineStr">
        <is>
          <t>Window</t>
        </is>
      </c>
      <c r="C14" s="122" t="n"/>
      <c r="D14" s="17" t="inlineStr">
        <is>
          <t>12:00–14:00 PM  (Peak lunch, 2 hrs/day)</t>
        </is>
      </c>
      <c r="E14" s="121" t="n"/>
      <c r="F14" s="121" t="n"/>
      <c r="G14" s="121" t="n"/>
      <c r="H14" s="121" t="n"/>
      <c r="I14" s="122" t="n"/>
    </row>
    <row r="15" ht="21.75" customHeight="1">
      <c r="B15" s="7" t="inlineStr">
        <is>
          <t>Footfall</t>
        </is>
      </c>
      <c r="C15" s="122" t="n"/>
      <c r="D15" s="18" t="inlineStr">
        <is>
          <t>Fri 511 · Sat 483 · Sun 467 customers</t>
        </is>
      </c>
      <c r="E15" s="121" t="n"/>
      <c r="F15" s="121" t="n"/>
      <c r="G15" s="121" t="n"/>
      <c r="H15" s="121" t="n"/>
      <c r="I15" s="122" t="n"/>
    </row>
    <row r="16" ht="21.75" customHeight="1">
      <c r="B16" s="7" t="inlineStr">
        <is>
          <t>OM Tools</t>
        </is>
      </c>
      <c r="C16" s="122" t="n"/>
      <c r="D16" s="17" t="inlineStr">
        <is>
          <t>Forecasting (SMA / WMA / ES)  +  Inventory (ABC / EOQ / ROP)</t>
        </is>
      </c>
      <c r="E16" s="121" t="n"/>
      <c r="F16" s="121" t="n"/>
      <c r="G16" s="121" t="n"/>
      <c r="H16" s="121" t="n"/>
      <c r="I16" s="122" t="n"/>
    </row>
    <row r="17"/>
    <row r="18" ht="19.5" customHeight="1">
      <c r="B18" s="12" t="inlineStr">
        <is>
          <t>SHEET INDEX</t>
        </is>
      </c>
      <c r="C18" s="121" t="n"/>
      <c r="D18" s="121" t="n"/>
      <c r="E18" s="121" t="n"/>
      <c r="F18" s="121" t="n"/>
      <c r="G18" s="121" t="n"/>
      <c r="H18" s="121" t="n"/>
      <c r="I18" s="122" t="n"/>
    </row>
    <row r="19" ht="15" customHeight="1">
      <c r="B19" s="19" t="inlineStr">
        <is>
          <t>Sheet</t>
        </is>
      </c>
      <c r="C19" s="19" t="inlineStr">
        <is>
          <t>Name</t>
        </is>
      </c>
      <c r="D19" s="19" t="inlineStr">
        <is>
          <t>Description</t>
        </is>
      </c>
      <c r="E19" s="121" t="n"/>
      <c r="F19" s="121" t="n"/>
      <c r="G19" s="121" t="n"/>
      <c r="H19" s="121" t="n"/>
      <c r="I19" s="122" t="n"/>
    </row>
    <row r="20" ht="19.5" customHeight="1">
      <c r="B20" s="20" t="inlineStr">
        <is>
          <t>S1</t>
        </is>
      </c>
      <c r="C20" s="21" t="inlineStr">
        <is>
          <t>Cover &amp; Index</t>
        </is>
      </c>
      <c r="D20" s="17" t="inlineStr">
        <is>
          <t>Project info, group members, navigation</t>
        </is>
      </c>
      <c r="E20" s="121" t="n"/>
      <c r="F20" s="121" t="n"/>
      <c r="G20" s="121" t="n"/>
      <c r="H20" s="121" t="n"/>
      <c r="I20" s="122" t="n"/>
    </row>
    <row r="21" ht="19.5" customHeight="1">
      <c r="B21" s="22" t="inlineStr">
        <is>
          <t>S2</t>
        </is>
      </c>
      <c r="C21" s="23" t="inlineStr">
        <is>
          <t>Daily Item Sales</t>
        </is>
      </c>
      <c r="D21" s="18" t="inlineStr">
        <is>
          <t>Raw tally: units served per item (Fri/Sat/Sun)</t>
        </is>
      </c>
      <c r="E21" s="121" t="n"/>
      <c r="F21" s="121" t="n"/>
      <c r="G21" s="121" t="n"/>
      <c r="H21" s="121" t="n"/>
      <c r="I21" s="122" t="n"/>
    </row>
    <row r="22" ht="19.5" customHeight="1">
      <c r="B22" s="20" t="inlineStr">
        <is>
          <t>S3</t>
        </is>
      </c>
      <c r="C22" s="21" t="inlineStr">
        <is>
          <t>Observation Log</t>
        </is>
      </c>
      <c r="D22" s="17" t="inlineStr">
        <is>
          <t>Timestamped arrivals &amp; service times (51 records)</t>
        </is>
      </c>
      <c r="E22" s="121" t="n"/>
      <c r="F22" s="121" t="n"/>
      <c r="G22" s="121" t="n"/>
      <c r="H22" s="121" t="n"/>
      <c r="I22" s="122" t="n"/>
    </row>
    <row r="23" ht="19.5" customHeight="1">
      <c r="B23" s="22" t="inlineStr">
        <is>
          <t>S4</t>
        </is>
      </c>
      <c r="C23" s="23" t="inlineStr">
        <is>
          <t>Forecasting Calcs</t>
        </is>
      </c>
      <c r="D23" s="18" t="inlineStr">
        <is>
          <t>SMA · WMA · ES forecasts + MAD/MAPE accuracy</t>
        </is>
      </c>
      <c r="E23" s="121" t="n"/>
      <c r="F23" s="121" t="n"/>
      <c r="G23" s="121" t="n"/>
      <c r="H23" s="121" t="n"/>
      <c r="I23" s="122" t="n"/>
    </row>
    <row r="24" ht="19.5" customHeight="1">
      <c r="B24" s="20" t="inlineStr">
        <is>
          <t>S5</t>
        </is>
      </c>
      <c r="C24" s="21" t="inlineStr">
        <is>
          <t>ABC Analysis</t>
        </is>
      </c>
      <c r="D24" s="17" t="inlineStr">
        <is>
          <t>ABC classification by annual demand value</t>
        </is>
      </c>
      <c r="E24" s="121" t="n"/>
      <c r="F24" s="121" t="n"/>
      <c r="G24" s="121" t="n"/>
      <c r="H24" s="121" t="n"/>
      <c r="I24" s="122" t="n"/>
    </row>
    <row r="25" ht="19.5" customHeight="1">
      <c r="B25" s="22" t="inlineStr">
        <is>
          <t>S6</t>
        </is>
      </c>
      <c r="C25" s="23" t="inlineStr">
        <is>
          <t>EOQ &amp; Reorder Point</t>
        </is>
      </c>
      <c r="D25" s="18" t="inlineStr">
        <is>
          <t>EOQ + ROP for Class A items</t>
        </is>
      </c>
      <c r="E25" s="121" t="n"/>
      <c r="F25" s="121" t="n"/>
      <c r="G25" s="121" t="n"/>
      <c r="H25" s="121" t="n"/>
      <c r="I25" s="122" t="n"/>
    </row>
    <row r="26" ht="19.5" customHeight="1">
      <c r="B26" s="20" t="inlineStr">
        <is>
          <t>S7</t>
        </is>
      </c>
      <c r="C26" s="21" t="inlineStr">
        <is>
          <t>Formula Derivations</t>
        </is>
      </c>
      <c r="D26" s="17" t="inlineStr">
        <is>
          <t>Step-by-step: EOQ · ROP · ES · SMA · WMA · M/M/1</t>
        </is>
      </c>
      <c r="E26" s="121" t="n"/>
      <c r="F26" s="121" t="n"/>
      <c r="G26" s="121" t="n"/>
      <c r="H26" s="121" t="n"/>
      <c r="I26" s="122" t="n"/>
    </row>
    <row r="27" ht="19.5" customHeight="1">
      <c r="B27" s="22" t="inlineStr">
        <is>
          <t>S8</t>
        </is>
      </c>
      <c r="C27" s="23" t="inlineStr">
        <is>
          <t>Queueing Analysis</t>
        </is>
      </c>
      <c r="D27" s="18" t="inlineStr">
        <is>
          <t>M/M/1 metrics from observation data</t>
        </is>
      </c>
      <c r="E27" s="121" t="n"/>
      <c r="F27" s="121" t="n"/>
      <c r="G27" s="121" t="n"/>
      <c r="H27" s="121" t="n"/>
      <c r="I27" s="122" t="n"/>
    </row>
    <row r="28" ht="19.5" customHeight="1">
      <c r="B28" s="20" t="inlineStr">
        <is>
          <t>S9</t>
        </is>
      </c>
      <c r="C28" s="21" t="inlineStr">
        <is>
          <t>Key Findings Summary</t>
        </is>
      </c>
      <c r="D28" s="17" t="inlineStr">
        <is>
          <t>One-page summary: findings + recommendation</t>
        </is>
      </c>
      <c r="E28" s="121" t="n"/>
      <c r="F28" s="121" t="n"/>
      <c r="G28" s="121" t="n"/>
      <c r="H28" s="121" t="n"/>
      <c r="I28" s="122" t="n"/>
    </row>
    <row r="29" ht="19.5" customHeight="1">
      <c r="B29" s="22" t="inlineStr">
        <is>
          <t>S10</t>
        </is>
      </c>
      <c r="C29" s="23" t="inlineStr">
        <is>
          <t>Data Notes</t>
        </is>
      </c>
      <c r="D29" s="18" t="inlineStr">
        <is>
          <t>Field notes · assumptions · limitations</t>
        </is>
      </c>
      <c r="E29" s="121" t="n"/>
      <c r="F29" s="121" t="n"/>
      <c r="G29" s="121" t="n"/>
      <c r="H29" s="121" t="n"/>
      <c r="I29" s="122" t="n"/>
    </row>
  </sheetData>
  <mergeCells count="34">
    <mergeCell ref="D11:I11"/>
    <mergeCell ref="D27:I27"/>
    <mergeCell ref="B16:C16"/>
    <mergeCell ref="B7:F7"/>
    <mergeCell ref="D13:I13"/>
    <mergeCell ref="G6:I6"/>
    <mergeCell ref="B3:I3"/>
    <mergeCell ref="D16:I16"/>
    <mergeCell ref="B12:C12"/>
    <mergeCell ref="B18:I18"/>
    <mergeCell ref="D28:I28"/>
    <mergeCell ref="B11:C11"/>
    <mergeCell ref="B2:I2"/>
    <mergeCell ref="B14:C14"/>
    <mergeCell ref="D12:I12"/>
    <mergeCell ref="D25:I25"/>
    <mergeCell ref="D15:I15"/>
    <mergeCell ref="B13:C13"/>
    <mergeCell ref="D24:I24"/>
    <mergeCell ref="D14:I14"/>
    <mergeCell ref="D29:I29"/>
    <mergeCell ref="D23:I23"/>
    <mergeCell ref="B10:C10"/>
    <mergeCell ref="D20:I20"/>
    <mergeCell ref="D26:I26"/>
    <mergeCell ref="D19:I19"/>
    <mergeCell ref="B9:I9"/>
    <mergeCell ref="D10:I10"/>
    <mergeCell ref="B15:C15"/>
    <mergeCell ref="B6:F6"/>
    <mergeCell ref="D22:I22"/>
    <mergeCell ref="B5:I5"/>
    <mergeCell ref="G7:I7"/>
    <mergeCell ref="D21:I2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topLeftCell="A11" zoomScaleNormal="100" workbookViewId="0">
      <selection activeCell="K23" sqref="K23"/>
    </sheetView>
  </sheetViews>
  <sheetFormatPr baseColWidth="8" defaultColWidth="8.6640625" defaultRowHeight="14.4"/>
  <cols>
    <col width="4" customWidth="1" min="1" max="1"/>
    <col width="22" customWidth="1" min="2" max="2"/>
    <col width="12" customWidth="1" min="3" max="3"/>
    <col width="10" customWidth="1" min="4" max="7"/>
    <col width="9" customWidth="1" min="8" max="9"/>
    <col width="8" customWidth="1" min="10" max="11"/>
  </cols>
  <sheetData>
    <row r="1" ht="25.5" customHeight="1">
      <c r="A1" s="3" t="inlineStr">
        <is>
          <t>SHEET 2 — DAILY ITEM SALES  |  GIKAFE  |  12:00–14:00</t>
        </is>
      </c>
    </row>
    <row r="2" ht="15.75" customHeight="1">
      <c r="A2" s="2" t="inlineStr">
        <is>
          <t>Observer tally at main counter  |  Fri 8-May=511  Sat 9-May=483  Sun 10-May=467  |  Window: 12:00–14:00</t>
        </is>
      </c>
    </row>
    <row r="3" ht="30" customHeight="1">
      <c r="A3" s="24" t="inlineStr">
        <is>
          <t>#</t>
        </is>
      </c>
      <c r="B3" s="24" t="inlineStr">
        <is>
          <t>Item</t>
        </is>
      </c>
      <c r="C3" s="24" t="inlineStr">
        <is>
          <t>Category</t>
        </is>
      </c>
      <c r="D3" s="24" t="inlineStr">
        <is>
          <t>Price
(PKR)</t>
        </is>
      </c>
      <c r="E3" s="24" t="inlineStr">
        <is>
          <t>Fri
8-May</t>
        </is>
      </c>
      <c r="F3" s="24" t="inlineStr">
        <is>
          <t>Sat
9-May</t>
        </is>
      </c>
      <c r="G3" s="24" t="inlineStr">
        <is>
          <t>Sun
10-May</t>
        </is>
      </c>
      <c r="H3" s="24" t="inlineStr">
        <is>
          <t>Total</t>
        </is>
      </c>
      <c r="I3" s="24" t="inlineStr">
        <is>
          <t>Avg</t>
        </is>
      </c>
      <c r="J3" s="24" t="inlineStr">
        <is>
          <t>Max</t>
        </is>
      </c>
      <c r="K3" s="24" t="inlineStr">
        <is>
          <t>Min</t>
        </is>
      </c>
    </row>
    <row r="4" ht="19.5" customHeight="1">
      <c r="A4" s="25" t="n">
        <v>1</v>
      </c>
      <c r="B4" s="26" t="inlineStr">
        <is>
          <t>Chicken Biryani</t>
        </is>
      </c>
      <c r="C4" s="26" t="inlineStr">
        <is>
          <t>Main Meal</t>
        </is>
      </c>
      <c r="D4" s="25" t="n">
        <v>200</v>
      </c>
      <c r="E4" s="25" t="n">
        <v>45</v>
      </c>
      <c r="F4" s="25" t="n">
        <v>43</v>
      </c>
      <c r="G4" s="25" t="n">
        <v>45</v>
      </c>
      <c r="H4" s="25">
        <f>SUM(E4:G4)</f>
        <v/>
      </c>
      <c r="I4" s="27">
        <f>AVERAGE(E4:G4)</f>
        <v/>
      </c>
      <c r="J4" s="25">
        <f>MAX(E4:G4)</f>
        <v/>
      </c>
      <c r="K4" s="25">
        <f>MIN(E4:G4)</f>
        <v/>
      </c>
    </row>
    <row r="5" ht="19.5" customHeight="1">
      <c r="A5" s="25" t="n">
        <v>2</v>
      </c>
      <c r="B5" s="26" t="inlineStr">
        <is>
          <t>Chicken Karhai + Rice</t>
        </is>
      </c>
      <c r="C5" s="26" t="inlineStr">
        <is>
          <t>Main Meal</t>
        </is>
      </c>
      <c r="D5" s="25" t="n">
        <v>250</v>
      </c>
      <c r="E5" s="25" t="n">
        <v>30</v>
      </c>
      <c r="F5" s="25" t="n">
        <v>31</v>
      </c>
      <c r="G5" s="25" t="n">
        <v>28</v>
      </c>
      <c r="H5" s="25">
        <f>SUM(E5:G5)</f>
        <v/>
      </c>
      <c r="I5" s="27">
        <f>AVERAGE(E5:G5)</f>
        <v/>
      </c>
      <c r="J5" s="25">
        <f>MAX(E5:G5)</f>
        <v/>
      </c>
      <c r="K5" s="25">
        <f>MIN(E5:G5)</f>
        <v/>
      </c>
    </row>
    <row r="6" ht="19.5" customHeight="1">
      <c r="A6" s="25" t="n">
        <v>3</v>
      </c>
      <c r="B6" s="26" t="inlineStr">
        <is>
          <t>Daal Chawal</t>
        </is>
      </c>
      <c r="C6" s="26" t="inlineStr">
        <is>
          <t>Main Meal</t>
        </is>
      </c>
      <c r="D6" s="25" t="n">
        <v>150</v>
      </c>
      <c r="E6" s="25" t="n">
        <v>48</v>
      </c>
      <c r="F6" s="25" t="n">
        <v>43</v>
      </c>
      <c r="G6" s="25" t="n">
        <v>42</v>
      </c>
      <c r="H6" s="25">
        <f>SUM(E6:G6)</f>
        <v/>
      </c>
      <c r="I6" s="27">
        <f>AVERAGE(E6:G6)</f>
        <v/>
      </c>
      <c r="J6" s="25">
        <f>MAX(E6:G6)</f>
        <v/>
      </c>
      <c r="K6" s="25">
        <f>MIN(E6:G6)</f>
        <v/>
      </c>
    </row>
    <row r="7" ht="19.5" customHeight="1">
      <c r="A7" s="25" t="n">
        <v>4</v>
      </c>
      <c r="B7" s="26" t="inlineStr">
        <is>
          <t>Vegetable Pulao</t>
        </is>
      </c>
      <c r="C7" s="26" t="inlineStr">
        <is>
          <t>Main Meal</t>
        </is>
      </c>
      <c r="D7" s="25" t="n">
        <v>150</v>
      </c>
      <c r="E7" s="25" t="n">
        <v>21</v>
      </c>
      <c r="F7" s="25" t="n">
        <v>19</v>
      </c>
      <c r="G7" s="25" t="n">
        <v>18</v>
      </c>
      <c r="H7" s="25">
        <f>SUM(E7:G7)</f>
        <v/>
      </c>
      <c r="I7" s="27">
        <f>AVERAGE(E7:G7)</f>
        <v/>
      </c>
      <c r="J7" s="25">
        <f>MAX(E7:G7)</f>
        <v/>
      </c>
      <c r="K7" s="25">
        <f>MIN(E7:G7)</f>
        <v/>
      </c>
    </row>
    <row r="8" ht="19.5" customHeight="1">
      <c r="A8" s="28" t="n">
        <v>5</v>
      </c>
      <c r="B8" s="29" t="inlineStr">
        <is>
          <t>Naan</t>
        </is>
      </c>
      <c r="C8" s="29" t="inlineStr">
        <is>
          <t>Bread</t>
        </is>
      </c>
      <c r="D8" s="28" t="n">
        <v>20</v>
      </c>
      <c r="E8" s="28" t="n">
        <v>62</v>
      </c>
      <c r="F8" s="28" t="n">
        <v>64</v>
      </c>
      <c r="G8" s="28" t="n">
        <v>63</v>
      </c>
      <c r="H8" s="28">
        <f>SUM(E8:G8)</f>
        <v/>
      </c>
      <c r="I8" s="30">
        <f>AVERAGE(E8:G8)</f>
        <v/>
      </c>
      <c r="J8" s="28">
        <f>MAX(E8:G8)</f>
        <v/>
      </c>
      <c r="K8" s="28">
        <f>MIN(E8:G8)</f>
        <v/>
      </c>
    </row>
    <row r="9" ht="19.5" customHeight="1">
      <c r="A9" s="31" t="n">
        <v>6</v>
      </c>
      <c r="B9" s="32" t="inlineStr">
        <is>
          <t>Egg Omelette</t>
        </is>
      </c>
      <c r="C9" s="32" t="inlineStr">
        <is>
          <t>Side</t>
        </is>
      </c>
      <c r="D9" s="31" t="n">
        <v>50</v>
      </c>
      <c r="E9" s="31" t="n">
        <v>24</v>
      </c>
      <c r="F9" s="31" t="n">
        <v>23</v>
      </c>
      <c r="G9" s="31" t="n">
        <v>23</v>
      </c>
      <c r="H9" s="31">
        <f>SUM(E9:G9)</f>
        <v/>
      </c>
      <c r="I9" s="33">
        <f>AVERAGE(E9:G9)</f>
        <v/>
      </c>
      <c r="J9" s="31">
        <f>MAX(E9:G9)</f>
        <v/>
      </c>
      <c r="K9" s="31">
        <f>MIN(E9:G9)</f>
        <v/>
      </c>
    </row>
    <row r="10" ht="19.5" customHeight="1">
      <c r="A10" s="31" t="n">
        <v>7</v>
      </c>
      <c r="B10" s="32" t="inlineStr">
        <is>
          <t>Aloo Sabzi</t>
        </is>
      </c>
      <c r="C10" s="32" t="inlineStr">
        <is>
          <t>Side</t>
        </is>
      </c>
      <c r="D10" s="31" t="n">
        <v>100</v>
      </c>
      <c r="E10" s="31" t="n">
        <v>18</v>
      </c>
      <c r="F10" s="31" t="n">
        <v>16</v>
      </c>
      <c r="G10" s="31" t="n">
        <v>16</v>
      </c>
      <c r="H10" s="31">
        <f>SUM(E10:G10)</f>
        <v/>
      </c>
      <c r="I10" s="33">
        <f>AVERAGE(E10:G10)</f>
        <v/>
      </c>
      <c r="J10" s="31">
        <f>MAX(E10:G10)</f>
        <v/>
      </c>
      <c r="K10" s="31">
        <f>MIN(E10:G10)</f>
        <v/>
      </c>
    </row>
    <row r="11" ht="19.5" customHeight="1">
      <c r="A11" s="34" t="n">
        <v>8</v>
      </c>
      <c r="B11" s="35" t="inlineStr">
        <is>
          <t>Raita</t>
        </is>
      </c>
      <c r="C11" s="35" t="inlineStr">
        <is>
          <t>Condiment</t>
        </is>
      </c>
      <c r="D11" s="34" t="n">
        <v>80</v>
      </c>
      <c r="E11" s="34" t="n">
        <v>29</v>
      </c>
      <c r="F11" s="34" t="n">
        <v>27</v>
      </c>
      <c r="G11" s="34" t="n">
        <v>23</v>
      </c>
      <c r="H11" s="34">
        <f>SUM(E11:G11)</f>
        <v/>
      </c>
      <c r="I11" s="36">
        <f>AVERAGE(E11:G11)</f>
        <v/>
      </c>
      <c r="J11" s="34">
        <f>MAX(E11:G11)</f>
        <v/>
      </c>
      <c r="K11" s="34">
        <f>MIN(E11:G11)</f>
        <v/>
      </c>
    </row>
    <row r="12" ht="19.5" customHeight="1">
      <c r="A12" s="34" t="n">
        <v>9</v>
      </c>
      <c r="B12" s="35" t="inlineStr">
        <is>
          <t>Salad Plate</t>
        </is>
      </c>
      <c r="C12" s="35" t="inlineStr">
        <is>
          <t>Condiment</t>
        </is>
      </c>
      <c r="D12" s="34" t="n">
        <v>80</v>
      </c>
      <c r="E12" s="34" t="n">
        <v>14</v>
      </c>
      <c r="F12" s="34" t="n">
        <v>12</v>
      </c>
      <c r="G12" s="34" t="n">
        <v>10</v>
      </c>
      <c r="H12" s="34">
        <f>SUM(E12:G12)</f>
        <v/>
      </c>
      <c r="I12" s="36">
        <f>AVERAGE(E12:G12)</f>
        <v/>
      </c>
      <c r="J12" s="34">
        <f>MAX(E12:G12)</f>
        <v/>
      </c>
      <c r="K12" s="34">
        <f>MIN(E12:G12)</f>
        <v/>
      </c>
    </row>
    <row r="13" ht="19.5" customHeight="1">
      <c r="A13" s="28" t="n">
        <v>10</v>
      </c>
      <c r="B13" s="29" t="inlineStr">
        <is>
          <t>Mineral Water</t>
        </is>
      </c>
      <c r="C13" s="29" t="inlineStr">
        <is>
          <t>Beverage</t>
        </is>
      </c>
      <c r="D13" s="28" t="n">
        <v>70</v>
      </c>
      <c r="E13" s="28" t="n">
        <v>44</v>
      </c>
      <c r="F13" s="28" t="n">
        <v>39</v>
      </c>
      <c r="G13" s="28" t="n">
        <v>40</v>
      </c>
      <c r="H13" s="28">
        <f>SUM(E13:G13)</f>
        <v/>
      </c>
      <c r="I13" s="30">
        <f>AVERAGE(E13:G13)</f>
        <v/>
      </c>
      <c r="J13" s="28">
        <f>MAX(E13:G13)</f>
        <v/>
      </c>
      <c r="K13" s="28">
        <f>MIN(E13:G13)</f>
        <v/>
      </c>
    </row>
    <row r="14" ht="19.5" customHeight="1">
      <c r="A14" s="28" t="n">
        <v>11</v>
      </c>
      <c r="B14" s="29" t="inlineStr">
        <is>
          <t>Cold Drink</t>
        </is>
      </c>
      <c r="C14" s="29" t="inlineStr">
        <is>
          <t>Beverage</t>
        </is>
      </c>
      <c r="D14" s="28" t="n">
        <v>80</v>
      </c>
      <c r="E14" s="28" t="n">
        <v>30</v>
      </c>
      <c r="F14" s="28" t="n">
        <v>27</v>
      </c>
      <c r="G14" s="28" t="n">
        <v>28</v>
      </c>
      <c r="H14" s="28">
        <f>SUM(E14:G14)</f>
        <v/>
      </c>
      <c r="I14" s="30">
        <f>AVERAGE(E14:G14)</f>
        <v/>
      </c>
      <c r="J14" s="28">
        <f>MAX(E14:G14)</f>
        <v/>
      </c>
      <c r="K14" s="28">
        <f>MIN(E14:G14)</f>
        <v/>
      </c>
    </row>
    <row r="15" ht="19.5" customHeight="1">
      <c r="A15" s="28" t="n">
        <v>12</v>
      </c>
      <c r="B15" s="29" t="inlineStr">
        <is>
          <t>Slice Juice</t>
        </is>
      </c>
      <c r="C15" s="29" t="inlineStr">
        <is>
          <t>Beverage</t>
        </is>
      </c>
      <c r="D15" s="28" t="n">
        <v>50</v>
      </c>
      <c r="E15" s="28" t="n">
        <v>21</v>
      </c>
      <c r="F15" s="28" t="n">
        <v>20</v>
      </c>
      <c r="G15" s="28" t="n">
        <v>19</v>
      </c>
      <c r="H15" s="28">
        <f>SUM(E15:G15)</f>
        <v/>
      </c>
      <c r="I15" s="30">
        <f>AVERAGE(E15:G15)</f>
        <v/>
      </c>
      <c r="J15" s="28">
        <f>MAX(E15:G15)</f>
        <v/>
      </c>
      <c r="K15" s="28">
        <f>MIN(E15:G15)</f>
        <v/>
      </c>
    </row>
    <row r="16" ht="19.5" customHeight="1">
      <c r="A16" s="28" t="n">
        <v>13</v>
      </c>
      <c r="B16" s="29" t="inlineStr">
        <is>
          <t>Tea / Chai</t>
        </is>
      </c>
      <c r="C16" s="29" t="inlineStr">
        <is>
          <t>Beverage</t>
        </is>
      </c>
      <c r="D16" s="28" t="n">
        <v>60</v>
      </c>
      <c r="E16" s="28" t="n">
        <v>50</v>
      </c>
      <c r="F16" s="28" t="n">
        <v>52</v>
      </c>
      <c r="G16" s="28" t="n">
        <v>50</v>
      </c>
      <c r="H16" s="28">
        <f>SUM(E16:G16)</f>
        <v/>
      </c>
      <c r="I16" s="30">
        <f>AVERAGE(E16:G16)</f>
        <v/>
      </c>
      <c r="J16" s="28">
        <f>MAX(E16:G16)</f>
        <v/>
      </c>
      <c r="K16" s="28">
        <f>MIN(E16:G16)</f>
        <v/>
      </c>
    </row>
    <row r="17" ht="19.5" customHeight="1">
      <c r="A17" s="37" t="n">
        <v>14</v>
      </c>
      <c r="B17" s="38" t="inlineStr">
        <is>
          <t>Chicken Nuggets</t>
        </is>
      </c>
      <c r="C17" s="38" t="inlineStr">
        <is>
          <t>Snack</t>
        </is>
      </c>
      <c r="D17" s="37" t="n">
        <v>20</v>
      </c>
      <c r="E17" s="37" t="n">
        <v>29</v>
      </c>
      <c r="F17" s="37" t="n">
        <v>27</v>
      </c>
      <c r="G17" s="37" t="n">
        <v>24</v>
      </c>
      <c r="H17" s="37">
        <f>SUM(E17:G17)</f>
        <v/>
      </c>
      <c r="I17" s="39">
        <f>AVERAGE(E17:G17)</f>
        <v/>
      </c>
      <c r="J17" s="37">
        <f>MAX(E17:G17)</f>
        <v/>
      </c>
      <c r="K17" s="37">
        <f>MIN(E17:G17)</f>
        <v/>
      </c>
    </row>
    <row r="18" ht="19.5" customHeight="1">
      <c r="A18" s="37" t="n">
        <v>15</v>
      </c>
      <c r="B18" s="38" t="inlineStr">
        <is>
          <t>Chicken Burger</t>
        </is>
      </c>
      <c r="C18" s="38" t="inlineStr">
        <is>
          <t>Snack</t>
        </is>
      </c>
      <c r="D18" s="37" t="n">
        <v>250</v>
      </c>
      <c r="E18" s="37" t="n">
        <v>18</v>
      </c>
      <c r="F18" s="37" t="n">
        <v>17</v>
      </c>
      <c r="G18" s="37" t="n">
        <v>16</v>
      </c>
      <c r="H18" s="37">
        <f>SUM(E18:G18)</f>
        <v/>
      </c>
      <c r="I18" s="39">
        <f>AVERAGE(E18:G18)</f>
        <v/>
      </c>
      <c r="J18" s="37">
        <f>MAX(E18:G18)</f>
        <v/>
      </c>
      <c r="K18" s="37">
        <f>MIN(E18:G18)</f>
        <v/>
      </c>
    </row>
    <row r="19" ht="19.5" customHeight="1">
      <c r="A19" s="37" t="n">
        <v>16</v>
      </c>
      <c r="B19" s="38" t="inlineStr">
        <is>
          <t>Chicken Tikka</t>
        </is>
      </c>
      <c r="C19" s="38" t="inlineStr">
        <is>
          <t>Snack</t>
        </is>
      </c>
      <c r="D19" s="37" t="n">
        <v>220</v>
      </c>
      <c r="E19" s="37" t="n">
        <v>28</v>
      </c>
      <c r="F19" s="37" t="n">
        <v>23</v>
      </c>
      <c r="G19" s="37" t="n">
        <v>22</v>
      </c>
      <c r="H19" s="37">
        <f>SUM(E19:G19)</f>
        <v/>
      </c>
      <c r="I19" s="39">
        <f>AVERAGE(E19:G19)</f>
        <v/>
      </c>
      <c r="J19" s="37">
        <f>MAX(E19:G19)</f>
        <v/>
      </c>
      <c r="K19" s="37">
        <f>MIN(E19:G19)</f>
        <v/>
      </c>
    </row>
    <row r="20" ht="21.75" customHeight="1">
      <c r="A20" s="1" t="inlineStr">
        <is>
          <t>DAILY TOTALS</t>
        </is>
      </c>
      <c r="B20" s="123" t="n"/>
      <c r="C20" s="123" t="n"/>
      <c r="D20" s="123" t="n"/>
      <c r="E20" s="40">
        <f>SUM(E4:E19)</f>
        <v/>
      </c>
      <c r="F20" s="40">
        <f>SUM(F4:F19)</f>
        <v/>
      </c>
      <c r="G20" s="40">
        <f>SUM(G4:G19)</f>
        <v/>
      </c>
    </row>
    <row r="21"/>
    <row r="22" ht="31.5" customHeight="1">
      <c r="A22" s="90" t="inlineStr">
        <is>
          <t>NOTE: Friday (511) highest — Jummah prayer + social lunch. Saturday (483) moderate. Sunday (467) lowest — students travelling home.</t>
        </is>
      </c>
      <c r="B22" s="121" t="n"/>
      <c r="C22" s="121" t="n"/>
      <c r="D22" s="121" t="n"/>
      <c r="E22" s="121" t="n"/>
      <c r="F22" s="121" t="n"/>
      <c r="G22" s="121" t="n"/>
      <c r="H22" s="121" t="n"/>
      <c r="I22" s="121" t="n"/>
      <c r="J22" s="121" t="n"/>
      <c r="K22" s="122" t="n"/>
    </row>
  </sheetData>
  <mergeCells count="4">
    <mergeCell ref="A2:K2"/>
    <mergeCell ref="A22:K22"/>
    <mergeCell ref="A1:K1"/>
    <mergeCell ref="A20:D2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topLeftCell="A49" zoomScale="109" zoomScaleNormal="109" workbookViewId="0">
      <selection activeCell="J60" sqref="J60"/>
    </sheetView>
  </sheetViews>
  <sheetFormatPr baseColWidth="8" defaultColWidth="8.6640625" defaultRowHeight="14.4"/>
  <cols>
    <col width="4" customWidth="1" min="1" max="1"/>
    <col width="11" customWidth="1" min="2" max="2"/>
    <col width="12" customWidth="1" min="3" max="5"/>
    <col width="10" customWidth="1" min="6" max="6"/>
    <col width="12" customWidth="1" min="7" max="9"/>
    <col width="11" customWidth="1" min="10" max="10"/>
  </cols>
  <sheetData>
    <row r="1" ht="25.5" customHeight="1">
      <c r="A1" s="3" t="inlineStr">
        <is>
          <t>SHEET 3 — CUSTOMER ARRIVAL &amp; SERVICE TIME LOG  |  GIKAFE</t>
        </is>
      </c>
    </row>
    <row r="2" ht="15.75" customHeight="1">
      <c r="A2" s="2" t="inlineStr">
        <is>
          <t>2 students, stopwatch timing  |  Window: 12:00–14:00  |  Arrival = reaches counter  |  Service = order placed → tray collected</t>
        </is>
      </c>
    </row>
    <row r="3" ht="33.75" customHeight="1">
      <c r="A3" s="24" t="inlineStr">
        <is>
          <t>#</t>
        </is>
      </c>
      <c r="B3" s="24" t="inlineStr">
        <is>
          <t>Day</t>
        </is>
      </c>
      <c r="C3" s="24" t="inlineStr">
        <is>
          <t>Date</t>
        </is>
      </c>
      <c r="D3" s="24" t="inlineStr">
        <is>
          <t>Arrival
Time</t>
        </is>
      </c>
      <c r="E3" s="24" t="inlineStr">
        <is>
          <t>Prev.
Arrival</t>
        </is>
      </c>
      <c r="F3" s="24" t="inlineStr">
        <is>
          <t>IAT
(sec)</t>
        </is>
      </c>
      <c r="G3" s="24" t="inlineStr">
        <is>
          <t>Svc
Start</t>
        </is>
      </c>
      <c r="H3" s="24" t="inlineStr">
        <is>
          <t>Svc
End</t>
        </is>
      </c>
      <c r="I3" s="24" t="inlineStr">
        <is>
          <t>Svc Time
(sec)</t>
        </is>
      </c>
      <c r="J3" s="24" t="inlineStr">
        <is>
          <t>Queue
Length</t>
        </is>
      </c>
    </row>
    <row r="4" ht="18" customHeight="1">
      <c r="A4" s="41" t="n">
        <v>1</v>
      </c>
      <c r="B4" s="42" t="inlineStr">
        <is>
          <t>Friday</t>
        </is>
      </c>
      <c r="C4" s="41" t="inlineStr">
        <is>
          <t>08-May-26</t>
        </is>
      </c>
      <c r="D4" s="41" t="inlineStr">
        <is>
          <t>12:00:00</t>
        </is>
      </c>
      <c r="E4" s="41" t="inlineStr">
        <is>
          <t>—</t>
        </is>
      </c>
      <c r="F4" s="41" t="inlineStr">
        <is>
          <t>—</t>
        </is>
      </c>
      <c r="G4" s="41" t="inlineStr">
        <is>
          <t>12:00:02</t>
        </is>
      </c>
      <c r="H4" s="41" t="inlineStr">
        <is>
          <t>12:00:33</t>
        </is>
      </c>
      <c r="I4" s="41" t="n">
        <v>31</v>
      </c>
      <c r="J4" s="41" t="n">
        <v>3</v>
      </c>
    </row>
    <row r="5" ht="18" customHeight="1">
      <c r="A5" s="41" t="n">
        <v>2</v>
      </c>
      <c r="B5" s="42" t="inlineStr">
        <is>
          <t>Friday</t>
        </is>
      </c>
      <c r="C5" s="41" t="inlineStr">
        <is>
          <t>08-May-26</t>
        </is>
      </c>
      <c r="D5" s="41" t="inlineStr">
        <is>
          <t>12:02:25</t>
        </is>
      </c>
      <c r="E5" s="41" t="inlineStr">
        <is>
          <t>12:00:00</t>
        </is>
      </c>
      <c r="F5" s="41" t="n">
        <v>145</v>
      </c>
      <c r="G5" s="41" t="inlineStr">
        <is>
          <t>12:02:25</t>
        </is>
      </c>
      <c r="H5" s="41" t="inlineStr">
        <is>
          <t>12:03:02</t>
        </is>
      </c>
      <c r="I5" s="41" t="n">
        <v>37</v>
      </c>
      <c r="J5" s="41" t="n">
        <v>2</v>
      </c>
    </row>
    <row r="6" ht="18" customHeight="1">
      <c r="A6" s="41" t="n">
        <v>3</v>
      </c>
      <c r="B6" s="42" t="inlineStr">
        <is>
          <t>Friday</t>
        </is>
      </c>
      <c r="C6" s="41" t="inlineStr">
        <is>
          <t>08-May-26</t>
        </is>
      </c>
      <c r="D6" s="41" t="inlineStr">
        <is>
          <t>12:07:00</t>
        </is>
      </c>
      <c r="E6" s="41" t="inlineStr">
        <is>
          <t>12:02:25</t>
        </is>
      </c>
      <c r="F6" s="41" t="n">
        <v>275</v>
      </c>
      <c r="G6" s="41" t="inlineStr">
        <is>
          <t>12:07:07</t>
        </is>
      </c>
      <c r="H6" s="41" t="inlineStr">
        <is>
          <t>12:08:02</t>
        </is>
      </c>
      <c r="I6" s="41" t="n">
        <v>55</v>
      </c>
      <c r="J6" s="41" t="n">
        <v>1</v>
      </c>
    </row>
    <row r="7" ht="18" customHeight="1">
      <c r="A7" s="41" t="n">
        <v>4</v>
      </c>
      <c r="B7" s="42" t="inlineStr">
        <is>
          <t>Friday</t>
        </is>
      </c>
      <c r="C7" s="41" t="inlineStr">
        <is>
          <t>08-May-26</t>
        </is>
      </c>
      <c r="D7" s="41" t="inlineStr">
        <is>
          <t>12:08:59</t>
        </is>
      </c>
      <c r="E7" s="41" t="inlineStr">
        <is>
          <t>12:07:00</t>
        </is>
      </c>
      <c r="F7" s="41" t="n">
        <v>119</v>
      </c>
      <c r="G7" s="41" t="inlineStr">
        <is>
          <t>12:09:02</t>
        </is>
      </c>
      <c r="H7" s="41" t="inlineStr">
        <is>
          <t>12:10:02</t>
        </is>
      </c>
      <c r="I7" s="41" t="n">
        <v>60</v>
      </c>
      <c r="J7" s="41" t="n">
        <v>0</v>
      </c>
    </row>
    <row r="8" ht="18" customHeight="1">
      <c r="A8" s="41" t="n">
        <v>5</v>
      </c>
      <c r="B8" s="42" t="inlineStr">
        <is>
          <t>Friday</t>
        </is>
      </c>
      <c r="C8" s="41" t="inlineStr">
        <is>
          <t>08-May-26</t>
        </is>
      </c>
      <c r="D8" s="41" t="inlineStr">
        <is>
          <t>12:12:20</t>
        </is>
      </c>
      <c r="E8" s="41" t="inlineStr">
        <is>
          <t>12:08:59</t>
        </is>
      </c>
      <c r="F8" s="41" t="n">
        <v>201</v>
      </c>
      <c r="G8" s="41" t="inlineStr">
        <is>
          <t>12:12:30</t>
        </is>
      </c>
      <c r="H8" s="41" t="inlineStr">
        <is>
          <t>12:13:13</t>
        </is>
      </c>
      <c r="I8" s="41" t="n">
        <v>43</v>
      </c>
      <c r="J8" s="41" t="n">
        <v>6</v>
      </c>
    </row>
    <row r="9" ht="18" customHeight="1">
      <c r="A9" s="41" t="n">
        <v>6</v>
      </c>
      <c r="B9" s="42" t="inlineStr">
        <is>
          <t>Friday</t>
        </is>
      </c>
      <c r="C9" s="41" t="inlineStr">
        <is>
          <t>08-May-26</t>
        </is>
      </c>
      <c r="D9" s="41" t="inlineStr">
        <is>
          <t>12:14:36</t>
        </is>
      </c>
      <c r="E9" s="41" t="inlineStr">
        <is>
          <t>12:12:20</t>
        </is>
      </c>
      <c r="F9" s="41" t="n">
        <v>136</v>
      </c>
      <c r="G9" s="41" t="inlineStr">
        <is>
          <t>12:14:44</t>
        </is>
      </c>
      <c r="H9" s="41" t="inlineStr">
        <is>
          <t>12:15:21</t>
        </is>
      </c>
      <c r="I9" s="41" t="n">
        <v>37</v>
      </c>
      <c r="J9" s="41" t="n">
        <v>2</v>
      </c>
    </row>
    <row r="10" ht="18" customHeight="1">
      <c r="A10" s="41" t="n">
        <v>7</v>
      </c>
      <c r="B10" s="42" t="inlineStr">
        <is>
          <t>Friday</t>
        </is>
      </c>
      <c r="C10" s="41" t="inlineStr">
        <is>
          <t>08-May-26</t>
        </is>
      </c>
      <c r="D10" s="41" t="inlineStr">
        <is>
          <t>12:19:34</t>
        </is>
      </c>
      <c r="E10" s="41" t="inlineStr">
        <is>
          <t>12:14:36</t>
        </is>
      </c>
      <c r="F10" s="41" t="n">
        <v>298</v>
      </c>
      <c r="G10" s="41" t="inlineStr">
        <is>
          <t>12:19:39</t>
        </is>
      </c>
      <c r="H10" s="41" t="inlineStr">
        <is>
          <t>12:20:21</t>
        </is>
      </c>
      <c r="I10" s="41" t="n">
        <v>42</v>
      </c>
      <c r="J10" s="41" t="n">
        <v>5</v>
      </c>
    </row>
    <row r="11" ht="18" customHeight="1">
      <c r="A11" s="41" t="n">
        <v>8</v>
      </c>
      <c r="B11" s="42" t="inlineStr">
        <is>
          <t>Friday</t>
        </is>
      </c>
      <c r="C11" s="41" t="inlineStr">
        <is>
          <t>08-May-26</t>
        </is>
      </c>
      <c r="D11" s="41" t="inlineStr">
        <is>
          <t>12:25:48</t>
        </is>
      </c>
      <c r="E11" s="41" t="inlineStr">
        <is>
          <t>12:19:34</t>
        </is>
      </c>
      <c r="F11" s="41" t="n">
        <v>374</v>
      </c>
      <c r="G11" s="41" t="inlineStr">
        <is>
          <t>12:25:52</t>
        </is>
      </c>
      <c r="H11" s="41" t="inlineStr">
        <is>
          <t>12:26:48</t>
        </is>
      </c>
      <c r="I11" s="41" t="n">
        <v>56</v>
      </c>
      <c r="J11" s="41" t="n">
        <v>1</v>
      </c>
    </row>
    <row r="12" ht="18" customHeight="1">
      <c r="A12" s="41" t="n">
        <v>9</v>
      </c>
      <c r="B12" s="42" t="inlineStr">
        <is>
          <t>Friday</t>
        </is>
      </c>
      <c r="C12" s="41" t="inlineStr">
        <is>
          <t>08-May-26</t>
        </is>
      </c>
      <c r="D12" s="41" t="inlineStr">
        <is>
          <t>12:31:19</t>
        </is>
      </c>
      <c r="E12" s="41" t="inlineStr">
        <is>
          <t>12:25:48</t>
        </is>
      </c>
      <c r="F12" s="41" t="n">
        <v>331</v>
      </c>
      <c r="G12" s="41" t="inlineStr">
        <is>
          <t>12:31:25</t>
        </is>
      </c>
      <c r="H12" s="41" t="inlineStr">
        <is>
          <t>12:32:27</t>
        </is>
      </c>
      <c r="I12" s="41" t="n">
        <v>62</v>
      </c>
      <c r="J12" s="41" t="n">
        <v>1</v>
      </c>
    </row>
    <row r="13" ht="18" customHeight="1">
      <c r="A13" s="41" t="n">
        <v>10</v>
      </c>
      <c r="B13" s="42" t="inlineStr">
        <is>
          <t>Friday</t>
        </is>
      </c>
      <c r="C13" s="41" t="inlineStr">
        <is>
          <t>08-May-26</t>
        </is>
      </c>
      <c r="D13" s="41" t="inlineStr">
        <is>
          <t>12:37:07</t>
        </is>
      </c>
      <c r="E13" s="41" t="inlineStr">
        <is>
          <t>12:31:19</t>
        </is>
      </c>
      <c r="F13" s="41" t="n">
        <v>348</v>
      </c>
      <c r="G13" s="41" t="inlineStr">
        <is>
          <t>12:37:11</t>
        </is>
      </c>
      <c r="H13" s="41" t="inlineStr">
        <is>
          <t>12:38:05</t>
        </is>
      </c>
      <c r="I13" s="41" t="n">
        <v>54</v>
      </c>
      <c r="J13" s="41" t="n">
        <v>0</v>
      </c>
    </row>
    <row r="14" ht="18" customHeight="1">
      <c r="A14" s="41" t="n">
        <v>11</v>
      </c>
      <c r="B14" s="42" t="inlineStr">
        <is>
          <t>Friday</t>
        </is>
      </c>
      <c r="C14" s="41" t="inlineStr">
        <is>
          <t>08-May-26</t>
        </is>
      </c>
      <c r="D14" s="41" t="inlineStr">
        <is>
          <t>12:39:34</t>
        </is>
      </c>
      <c r="E14" s="41" t="inlineStr">
        <is>
          <t>12:37:07</t>
        </is>
      </c>
      <c r="F14" s="41" t="n">
        <v>147</v>
      </c>
      <c r="G14" s="41" t="inlineStr">
        <is>
          <t>12:39:41</t>
        </is>
      </c>
      <c r="H14" s="41" t="inlineStr">
        <is>
          <t>12:40:21</t>
        </is>
      </c>
      <c r="I14" s="41" t="n">
        <v>40</v>
      </c>
      <c r="J14" s="41" t="n">
        <v>0</v>
      </c>
    </row>
    <row r="15" ht="18" customHeight="1">
      <c r="A15" s="41" t="n">
        <v>12</v>
      </c>
      <c r="B15" s="42" t="inlineStr">
        <is>
          <t>Friday</t>
        </is>
      </c>
      <c r="C15" s="41" t="inlineStr">
        <is>
          <t>08-May-26</t>
        </is>
      </c>
      <c r="D15" s="41" t="inlineStr">
        <is>
          <t>12:41:49</t>
        </is>
      </c>
      <c r="E15" s="41" t="inlineStr">
        <is>
          <t>12:39:34</t>
        </is>
      </c>
      <c r="F15" s="41" t="n">
        <v>135</v>
      </c>
      <c r="G15" s="41" t="inlineStr">
        <is>
          <t>12:41:58</t>
        </is>
      </c>
      <c r="H15" s="41" t="inlineStr">
        <is>
          <t>12:43:03</t>
        </is>
      </c>
      <c r="I15" s="41" t="n">
        <v>65</v>
      </c>
      <c r="J15" s="41" t="n">
        <v>3</v>
      </c>
    </row>
    <row r="16" ht="18" customHeight="1">
      <c r="A16" s="41" t="n">
        <v>13</v>
      </c>
      <c r="B16" s="42" t="inlineStr">
        <is>
          <t>Friday</t>
        </is>
      </c>
      <c r="C16" s="41" t="inlineStr">
        <is>
          <t>08-May-26</t>
        </is>
      </c>
      <c r="D16" s="41" t="inlineStr">
        <is>
          <t>12:45:22</t>
        </is>
      </c>
      <c r="E16" s="41" t="inlineStr">
        <is>
          <t>12:41:49</t>
        </is>
      </c>
      <c r="F16" s="41" t="n">
        <v>213</v>
      </c>
      <c r="G16" s="41" t="inlineStr">
        <is>
          <t>12:45:31</t>
        </is>
      </c>
      <c r="H16" s="41" t="inlineStr">
        <is>
          <t>12:46:37</t>
        </is>
      </c>
      <c r="I16" s="41" t="n">
        <v>66</v>
      </c>
      <c r="J16" s="41" t="n">
        <v>1</v>
      </c>
    </row>
    <row r="17" ht="18" customHeight="1">
      <c r="A17" s="41" t="n">
        <v>14</v>
      </c>
      <c r="B17" s="42" t="inlineStr">
        <is>
          <t>Friday</t>
        </is>
      </c>
      <c r="C17" s="41" t="inlineStr">
        <is>
          <t>08-May-26</t>
        </is>
      </c>
      <c r="D17" s="41" t="inlineStr">
        <is>
          <t>12:47:59</t>
        </is>
      </c>
      <c r="E17" s="41" t="inlineStr">
        <is>
          <t>12:45:22</t>
        </is>
      </c>
      <c r="F17" s="41" t="n">
        <v>157</v>
      </c>
      <c r="G17" s="41" t="inlineStr">
        <is>
          <t>12:48:09</t>
        </is>
      </c>
      <c r="H17" s="41" t="inlineStr">
        <is>
          <t>12:48:50</t>
        </is>
      </c>
      <c r="I17" s="41" t="n">
        <v>41</v>
      </c>
      <c r="J17" s="41" t="n">
        <v>1</v>
      </c>
    </row>
    <row r="18" ht="18" customHeight="1">
      <c r="A18" s="41" t="n">
        <v>15</v>
      </c>
      <c r="B18" s="42" t="inlineStr">
        <is>
          <t>Friday</t>
        </is>
      </c>
      <c r="C18" s="41" t="inlineStr">
        <is>
          <t>08-May-26</t>
        </is>
      </c>
      <c r="D18" s="41" t="inlineStr">
        <is>
          <t>12:52:37</t>
        </is>
      </c>
      <c r="E18" s="41" t="inlineStr">
        <is>
          <t>12:47:59</t>
        </is>
      </c>
      <c r="F18" s="41" t="n">
        <v>278</v>
      </c>
      <c r="G18" s="41" t="inlineStr">
        <is>
          <t>12:52:42</t>
        </is>
      </c>
      <c r="H18" s="41" t="inlineStr">
        <is>
          <t>12:54:05</t>
        </is>
      </c>
      <c r="I18" s="41" t="n">
        <v>83</v>
      </c>
      <c r="J18" s="41" t="n">
        <v>1</v>
      </c>
    </row>
    <row r="19" ht="18" customHeight="1">
      <c r="A19" s="41" t="n">
        <v>16</v>
      </c>
      <c r="B19" s="42" t="inlineStr">
        <is>
          <t>Friday</t>
        </is>
      </c>
      <c r="C19" s="41" t="inlineStr">
        <is>
          <t>08-May-26</t>
        </is>
      </c>
      <c r="D19" s="41" t="inlineStr">
        <is>
          <t>12:56:53</t>
        </is>
      </c>
      <c r="E19" s="41" t="inlineStr">
        <is>
          <t>12:52:37</t>
        </is>
      </c>
      <c r="F19" s="41" t="n">
        <v>256</v>
      </c>
      <c r="G19" s="41" t="inlineStr">
        <is>
          <t>12:56:54</t>
        </is>
      </c>
      <c r="H19" s="41" t="inlineStr">
        <is>
          <t>12:57:39</t>
        </is>
      </c>
      <c r="I19" s="41" t="n">
        <v>45</v>
      </c>
      <c r="J19" s="41" t="n">
        <v>1</v>
      </c>
    </row>
    <row r="20" ht="18" customHeight="1">
      <c r="A20" s="41" t="n">
        <v>17</v>
      </c>
      <c r="B20" s="42" t="inlineStr">
        <is>
          <t>Friday</t>
        </is>
      </c>
      <c r="C20" s="41" t="inlineStr">
        <is>
          <t>08-May-26</t>
        </is>
      </c>
      <c r="D20" s="41" t="inlineStr">
        <is>
          <t>13:00:02</t>
        </is>
      </c>
      <c r="E20" s="41" t="inlineStr">
        <is>
          <t>12:56:53</t>
        </is>
      </c>
      <c r="F20" s="41" t="n">
        <v>189</v>
      </c>
      <c r="G20" s="41" t="inlineStr">
        <is>
          <t>13:00:08</t>
        </is>
      </c>
      <c r="H20" s="41" t="inlineStr">
        <is>
          <t>13:01:27</t>
        </is>
      </c>
      <c r="I20" s="41" t="n">
        <v>79</v>
      </c>
      <c r="J20" s="41" t="n">
        <v>1</v>
      </c>
    </row>
    <row r="21" ht="21.75" customHeight="1">
      <c r="A21" s="91" t="inlineStr">
        <is>
          <t>Friday — Summary</t>
        </is>
      </c>
      <c r="B21" s="123" t="n"/>
      <c r="C21" s="123" t="n"/>
      <c r="D21" s="124" t="n"/>
      <c r="E21" s="43" t="n"/>
      <c r="F21" s="43" t="n"/>
      <c r="G21" s="43" t="n"/>
      <c r="H21" s="43" t="n"/>
      <c r="I21" s="44">
        <f>AVERAGE(I4:I20)</f>
        <v/>
      </c>
      <c r="J21" s="44">
        <f>AVERAGE(J4:J20)</f>
        <v/>
      </c>
    </row>
    <row r="22"/>
    <row r="23" ht="18" customHeight="1">
      <c r="A23" s="45" t="n">
        <v>18</v>
      </c>
      <c r="B23" s="46" t="inlineStr">
        <is>
          <t>Saturday</t>
        </is>
      </c>
      <c r="C23" s="45" t="inlineStr">
        <is>
          <t>09-May-26</t>
        </is>
      </c>
      <c r="D23" s="45" t="inlineStr">
        <is>
          <t>12:00:00</t>
        </is>
      </c>
      <c r="E23" s="45" t="inlineStr">
        <is>
          <t>—</t>
        </is>
      </c>
      <c r="F23" s="45" t="inlineStr">
        <is>
          <t>—</t>
        </is>
      </c>
      <c r="G23" s="45" t="inlineStr">
        <is>
          <t>12:00:00</t>
        </is>
      </c>
      <c r="H23" s="45" t="inlineStr">
        <is>
          <t>12:01:13</t>
        </is>
      </c>
      <c r="I23" s="45" t="n">
        <v>73</v>
      </c>
      <c r="J23" s="45" t="n">
        <v>3</v>
      </c>
    </row>
    <row r="24" ht="18" customHeight="1">
      <c r="A24" s="45" t="n">
        <v>19</v>
      </c>
      <c r="B24" s="46" t="inlineStr">
        <is>
          <t>Saturday</t>
        </is>
      </c>
      <c r="C24" s="45" t="inlineStr">
        <is>
          <t>09-May-26</t>
        </is>
      </c>
      <c r="D24" s="45" t="inlineStr">
        <is>
          <t>12:02:01</t>
        </is>
      </c>
      <c r="E24" s="45" t="inlineStr">
        <is>
          <t>12:00:00</t>
        </is>
      </c>
      <c r="F24" s="45" t="n">
        <v>121</v>
      </c>
      <c r="G24" s="45" t="inlineStr">
        <is>
          <t>12:02:03</t>
        </is>
      </c>
      <c r="H24" s="45" t="inlineStr">
        <is>
          <t>12:02:59</t>
        </is>
      </c>
      <c r="I24" s="45" t="n">
        <v>56</v>
      </c>
      <c r="J24" s="45" t="n">
        <v>6</v>
      </c>
    </row>
    <row r="25" ht="18" customHeight="1">
      <c r="A25" s="45" t="n">
        <v>20</v>
      </c>
      <c r="B25" s="46" t="inlineStr">
        <is>
          <t>Saturday</t>
        </is>
      </c>
      <c r="C25" s="45" t="inlineStr">
        <is>
          <t>09-May-26</t>
        </is>
      </c>
      <c r="D25" s="45" t="inlineStr">
        <is>
          <t>12:03:04</t>
        </is>
      </c>
      <c r="E25" s="45" t="inlineStr">
        <is>
          <t>12:02:01</t>
        </is>
      </c>
      <c r="F25" s="45" t="n">
        <v>63</v>
      </c>
      <c r="G25" s="45" t="inlineStr">
        <is>
          <t>12:03:09</t>
        </is>
      </c>
      <c r="H25" s="45" t="inlineStr">
        <is>
          <t>12:04:35</t>
        </is>
      </c>
      <c r="I25" s="45" t="n">
        <v>86</v>
      </c>
      <c r="J25" s="45" t="n">
        <v>2</v>
      </c>
    </row>
    <row r="26" ht="18" customHeight="1">
      <c r="A26" s="45" t="n">
        <v>21</v>
      </c>
      <c r="B26" s="46" t="inlineStr">
        <is>
          <t>Saturday</t>
        </is>
      </c>
      <c r="C26" s="45" t="inlineStr">
        <is>
          <t>09-May-26</t>
        </is>
      </c>
      <c r="D26" s="45" t="inlineStr">
        <is>
          <t>12:05:40</t>
        </is>
      </c>
      <c r="E26" s="45" t="inlineStr">
        <is>
          <t>12:03:04</t>
        </is>
      </c>
      <c r="F26" s="45" t="n">
        <v>156</v>
      </c>
      <c r="G26" s="45" t="inlineStr">
        <is>
          <t>12:05:43</t>
        </is>
      </c>
      <c r="H26" s="45" t="inlineStr">
        <is>
          <t>12:06:55</t>
        </is>
      </c>
      <c r="I26" s="45" t="n">
        <v>72</v>
      </c>
      <c r="J26" s="45" t="n">
        <v>5</v>
      </c>
    </row>
    <row r="27" ht="18" customHeight="1">
      <c r="A27" s="45" t="n">
        <v>22</v>
      </c>
      <c r="B27" s="46" t="inlineStr">
        <is>
          <t>Saturday</t>
        </is>
      </c>
      <c r="C27" s="45" t="inlineStr">
        <is>
          <t>09-May-26</t>
        </is>
      </c>
      <c r="D27" s="45" t="inlineStr">
        <is>
          <t>12:07:42</t>
        </is>
      </c>
      <c r="E27" s="45" t="inlineStr">
        <is>
          <t>12:05:40</t>
        </is>
      </c>
      <c r="F27" s="45" t="n">
        <v>122</v>
      </c>
      <c r="G27" s="45" t="inlineStr">
        <is>
          <t>12:07:50</t>
        </is>
      </c>
      <c r="H27" s="45" t="inlineStr">
        <is>
          <t>12:08:30</t>
        </is>
      </c>
      <c r="I27" s="45" t="n">
        <v>40</v>
      </c>
      <c r="J27" s="45" t="n">
        <v>0</v>
      </c>
    </row>
    <row r="28" ht="18" customHeight="1">
      <c r="A28" s="45" t="n">
        <v>23</v>
      </c>
      <c r="B28" s="46" t="inlineStr">
        <is>
          <t>Saturday</t>
        </is>
      </c>
      <c r="C28" s="45" t="inlineStr">
        <is>
          <t>09-May-26</t>
        </is>
      </c>
      <c r="D28" s="45" t="inlineStr">
        <is>
          <t>12:10:26</t>
        </is>
      </c>
      <c r="E28" s="45" t="inlineStr">
        <is>
          <t>12:07:42</t>
        </is>
      </c>
      <c r="F28" s="45" t="n">
        <v>164</v>
      </c>
      <c r="G28" s="45" t="inlineStr">
        <is>
          <t>12:10:33</t>
        </is>
      </c>
      <c r="H28" s="45" t="inlineStr">
        <is>
          <t>12:11:52</t>
        </is>
      </c>
      <c r="I28" s="45" t="n">
        <v>79</v>
      </c>
      <c r="J28" s="45" t="n">
        <v>0</v>
      </c>
    </row>
    <row r="29" ht="18" customHeight="1">
      <c r="A29" s="45" t="n">
        <v>24</v>
      </c>
      <c r="B29" s="46" t="inlineStr">
        <is>
          <t>Saturday</t>
        </is>
      </c>
      <c r="C29" s="45" t="inlineStr">
        <is>
          <t>09-May-26</t>
        </is>
      </c>
      <c r="D29" s="45" t="inlineStr">
        <is>
          <t>12:12:39</t>
        </is>
      </c>
      <c r="E29" s="45" t="inlineStr">
        <is>
          <t>12:10:26</t>
        </is>
      </c>
      <c r="F29" s="45" t="n">
        <v>133</v>
      </c>
      <c r="G29" s="45" t="inlineStr">
        <is>
          <t>12:12:43</t>
        </is>
      </c>
      <c r="H29" s="45" t="inlineStr">
        <is>
          <t>12:13:16</t>
        </is>
      </c>
      <c r="I29" s="45" t="n">
        <v>33</v>
      </c>
      <c r="J29" s="45" t="n">
        <v>3</v>
      </c>
    </row>
    <row r="30" ht="18" customHeight="1">
      <c r="A30" s="45" t="n">
        <v>25</v>
      </c>
      <c r="B30" s="46" t="inlineStr">
        <is>
          <t>Saturday</t>
        </is>
      </c>
      <c r="C30" s="45" t="inlineStr">
        <is>
          <t>09-May-26</t>
        </is>
      </c>
      <c r="D30" s="45" t="inlineStr">
        <is>
          <t>12:13:47</t>
        </is>
      </c>
      <c r="E30" s="45" t="inlineStr">
        <is>
          <t>12:12:39</t>
        </is>
      </c>
      <c r="F30" s="45" t="n">
        <v>68</v>
      </c>
      <c r="G30" s="45" t="inlineStr">
        <is>
          <t>12:13:50</t>
        </is>
      </c>
      <c r="H30" s="45" t="inlineStr">
        <is>
          <t>12:14:46</t>
        </is>
      </c>
      <c r="I30" s="45" t="n">
        <v>56</v>
      </c>
      <c r="J30" s="45" t="n">
        <v>1</v>
      </c>
    </row>
    <row r="31" ht="18" customHeight="1">
      <c r="A31" s="45" t="n">
        <v>26</v>
      </c>
      <c r="B31" s="46" t="inlineStr">
        <is>
          <t>Saturday</t>
        </is>
      </c>
      <c r="C31" s="45" t="inlineStr">
        <is>
          <t>09-May-26</t>
        </is>
      </c>
      <c r="D31" s="45" t="inlineStr">
        <is>
          <t>12:15:04</t>
        </is>
      </c>
      <c r="E31" s="45" t="inlineStr">
        <is>
          <t>12:13:47</t>
        </is>
      </c>
      <c r="F31" s="45" t="n">
        <v>77</v>
      </c>
      <c r="G31" s="45" t="inlineStr">
        <is>
          <t>12:15:09</t>
        </is>
      </c>
      <c r="H31" s="45" t="inlineStr">
        <is>
          <t>12:16:34</t>
        </is>
      </c>
      <c r="I31" s="45" t="n">
        <v>85</v>
      </c>
      <c r="J31" s="45" t="n">
        <v>3</v>
      </c>
    </row>
    <row r="32" ht="18" customHeight="1">
      <c r="A32" s="45" t="n">
        <v>27</v>
      </c>
      <c r="B32" s="46" t="inlineStr">
        <is>
          <t>Saturday</t>
        </is>
      </c>
      <c r="C32" s="45" t="inlineStr">
        <is>
          <t>09-May-26</t>
        </is>
      </c>
      <c r="D32" s="45" t="inlineStr">
        <is>
          <t>12:16:41</t>
        </is>
      </c>
      <c r="E32" s="45" t="inlineStr">
        <is>
          <t>12:15:04</t>
        </is>
      </c>
      <c r="F32" s="45" t="n">
        <v>97</v>
      </c>
      <c r="G32" s="45" t="inlineStr">
        <is>
          <t>12:16:48</t>
        </is>
      </c>
      <c r="H32" s="45" t="inlineStr">
        <is>
          <t>12:17:27</t>
        </is>
      </c>
      <c r="I32" s="45" t="n">
        <v>39</v>
      </c>
      <c r="J32" s="45" t="n">
        <v>0</v>
      </c>
    </row>
    <row r="33" ht="18" customHeight="1">
      <c r="A33" s="45" t="n">
        <v>28</v>
      </c>
      <c r="B33" s="46" t="inlineStr">
        <is>
          <t>Saturday</t>
        </is>
      </c>
      <c r="C33" s="45" t="inlineStr">
        <is>
          <t>09-May-26</t>
        </is>
      </c>
      <c r="D33" s="45" t="inlineStr">
        <is>
          <t>12:18:16</t>
        </is>
      </c>
      <c r="E33" s="45" t="inlineStr">
        <is>
          <t>12:16:41</t>
        </is>
      </c>
      <c r="F33" s="45" t="n">
        <v>95</v>
      </c>
      <c r="G33" s="45" t="inlineStr">
        <is>
          <t>12:18:24</t>
        </is>
      </c>
      <c r="H33" s="45" t="inlineStr">
        <is>
          <t>12:19:35</t>
        </is>
      </c>
      <c r="I33" s="45" t="n">
        <v>71</v>
      </c>
      <c r="J33" s="45" t="n">
        <v>5</v>
      </c>
    </row>
    <row r="34" ht="18" customHeight="1">
      <c r="A34" s="45" t="n">
        <v>29</v>
      </c>
      <c r="B34" s="46" t="inlineStr">
        <is>
          <t>Saturday</t>
        </is>
      </c>
      <c r="C34" s="45" t="inlineStr">
        <is>
          <t>09-May-26</t>
        </is>
      </c>
      <c r="D34" s="45" t="inlineStr">
        <is>
          <t>12:21:18</t>
        </is>
      </c>
      <c r="E34" s="45" t="inlineStr">
        <is>
          <t>12:18:16</t>
        </is>
      </c>
      <c r="F34" s="45" t="n">
        <v>182</v>
      </c>
      <c r="G34" s="45" t="inlineStr">
        <is>
          <t>12:21:21</t>
        </is>
      </c>
      <c r="H34" s="45" t="inlineStr">
        <is>
          <t>12:21:52</t>
        </is>
      </c>
      <c r="I34" s="45" t="n">
        <v>31</v>
      </c>
      <c r="J34" s="45" t="n">
        <v>4</v>
      </c>
    </row>
    <row r="35" ht="18" customHeight="1">
      <c r="A35" s="45" t="n">
        <v>30</v>
      </c>
      <c r="B35" s="46" t="inlineStr">
        <is>
          <t>Saturday</t>
        </is>
      </c>
      <c r="C35" s="45" t="inlineStr">
        <is>
          <t>09-May-26</t>
        </is>
      </c>
      <c r="D35" s="45" t="inlineStr">
        <is>
          <t>12:23:51</t>
        </is>
      </c>
      <c r="E35" s="45" t="inlineStr">
        <is>
          <t>12:21:18</t>
        </is>
      </c>
      <c r="F35" s="45" t="n">
        <v>153</v>
      </c>
      <c r="G35" s="45" t="inlineStr">
        <is>
          <t>12:23:53</t>
        </is>
      </c>
      <c r="H35" s="45" t="inlineStr">
        <is>
          <t>12:25:13</t>
        </is>
      </c>
      <c r="I35" s="45" t="n">
        <v>80</v>
      </c>
      <c r="J35" s="45" t="n">
        <v>4</v>
      </c>
    </row>
    <row r="36" ht="18" customHeight="1">
      <c r="A36" s="45" t="n">
        <v>31</v>
      </c>
      <c r="B36" s="46" t="inlineStr">
        <is>
          <t>Saturday</t>
        </is>
      </c>
      <c r="C36" s="45" t="inlineStr">
        <is>
          <t>09-May-26</t>
        </is>
      </c>
      <c r="D36" s="45" t="inlineStr">
        <is>
          <t>12:26:40</t>
        </is>
      </c>
      <c r="E36" s="45" t="inlineStr">
        <is>
          <t>12:23:51</t>
        </is>
      </c>
      <c r="F36" s="45" t="n">
        <v>169</v>
      </c>
      <c r="G36" s="45" t="inlineStr">
        <is>
          <t>12:26:49</t>
        </is>
      </c>
      <c r="H36" s="45" t="inlineStr">
        <is>
          <t>12:27:50</t>
        </is>
      </c>
      <c r="I36" s="45" t="n">
        <v>61</v>
      </c>
      <c r="J36" s="45" t="n">
        <v>5</v>
      </c>
    </row>
    <row r="37" ht="18" customHeight="1">
      <c r="A37" s="45" t="n">
        <v>32</v>
      </c>
      <c r="B37" s="46" t="inlineStr">
        <is>
          <t>Saturday</t>
        </is>
      </c>
      <c r="C37" s="45" t="inlineStr">
        <is>
          <t>09-May-26</t>
        </is>
      </c>
      <c r="D37" s="45" t="inlineStr">
        <is>
          <t>12:29:42</t>
        </is>
      </c>
      <c r="E37" s="45" t="inlineStr">
        <is>
          <t>12:26:40</t>
        </is>
      </c>
      <c r="F37" s="45" t="n">
        <v>182</v>
      </c>
      <c r="G37" s="45" t="inlineStr">
        <is>
          <t>12:29:44</t>
        </is>
      </c>
      <c r="H37" s="45" t="inlineStr">
        <is>
          <t>12:30:33</t>
        </is>
      </c>
      <c r="I37" s="45" t="n">
        <v>49</v>
      </c>
      <c r="J37" s="45" t="n">
        <v>2</v>
      </c>
    </row>
    <row r="38" ht="18" customHeight="1">
      <c r="A38" s="45" t="n">
        <v>33</v>
      </c>
      <c r="B38" s="46" t="inlineStr">
        <is>
          <t>Saturday</t>
        </is>
      </c>
      <c r="C38" s="45" t="inlineStr">
        <is>
          <t>09-May-26</t>
        </is>
      </c>
      <c r="D38" s="45" t="inlineStr">
        <is>
          <t>12:31:52</t>
        </is>
      </c>
      <c r="E38" s="45" t="inlineStr">
        <is>
          <t>12:29:42</t>
        </is>
      </c>
      <c r="F38" s="45" t="n">
        <v>130</v>
      </c>
      <c r="G38" s="45" t="inlineStr">
        <is>
          <t>12:31:52</t>
        </is>
      </c>
      <c r="H38" s="45" t="inlineStr">
        <is>
          <t>12:32:30</t>
        </is>
      </c>
      <c r="I38" s="45" t="n">
        <v>38</v>
      </c>
      <c r="J38" s="45" t="n">
        <v>1</v>
      </c>
    </row>
    <row r="39" ht="18" customHeight="1">
      <c r="A39" s="45" t="n">
        <v>34</v>
      </c>
      <c r="B39" s="46" t="inlineStr">
        <is>
          <t>Saturday</t>
        </is>
      </c>
      <c r="C39" s="45" t="inlineStr">
        <is>
          <t>09-May-26</t>
        </is>
      </c>
      <c r="D39" s="45" t="inlineStr">
        <is>
          <t>12:33:24</t>
        </is>
      </c>
      <c r="E39" s="45" t="inlineStr">
        <is>
          <t>12:31:52</t>
        </is>
      </c>
      <c r="F39" s="45" t="n">
        <v>92</v>
      </c>
      <c r="G39" s="45" t="inlineStr">
        <is>
          <t>12:33:24</t>
        </is>
      </c>
      <c r="H39" s="45" t="inlineStr">
        <is>
          <t>12:34:39</t>
        </is>
      </c>
      <c r="I39" s="45" t="n">
        <v>75</v>
      </c>
      <c r="J39" s="45" t="n">
        <v>1</v>
      </c>
    </row>
    <row r="40" ht="21.75" customHeight="1">
      <c r="A40" s="91" t="inlineStr">
        <is>
          <t>Saturday — Summary</t>
        </is>
      </c>
      <c r="B40" s="123" t="n"/>
      <c r="C40" s="123" t="n"/>
      <c r="D40" s="124" t="n"/>
      <c r="E40" s="43" t="n"/>
      <c r="F40" s="43" t="n"/>
      <c r="G40" s="43" t="n"/>
      <c r="H40" s="43" t="n"/>
      <c r="I40" s="44">
        <f>AVERAGE(I23:I39)</f>
        <v/>
      </c>
      <c r="J40" s="44">
        <f>AVERAGE(J23:J39)</f>
        <v/>
      </c>
    </row>
    <row r="41"/>
    <row r="42" ht="18" customHeight="1">
      <c r="A42" s="47" t="n">
        <v>35</v>
      </c>
      <c r="B42" s="48" t="inlineStr">
        <is>
          <t>Sunday</t>
        </is>
      </c>
      <c r="C42" s="47" t="inlineStr">
        <is>
          <t>10-May-26</t>
        </is>
      </c>
      <c r="D42" s="47" t="inlineStr">
        <is>
          <t>12:00:00</t>
        </is>
      </c>
      <c r="E42" s="47" t="inlineStr">
        <is>
          <t>—</t>
        </is>
      </c>
      <c r="F42" s="47" t="inlineStr">
        <is>
          <t>—</t>
        </is>
      </c>
      <c r="G42" s="47" t="inlineStr">
        <is>
          <t>12:00:10</t>
        </is>
      </c>
      <c r="H42" s="47" t="inlineStr">
        <is>
          <t>12:01:00</t>
        </is>
      </c>
      <c r="I42" s="47" t="n">
        <v>50</v>
      </c>
      <c r="J42" s="47" t="n">
        <v>1</v>
      </c>
    </row>
    <row r="43" ht="18" customHeight="1">
      <c r="A43" s="47" t="n">
        <v>36</v>
      </c>
      <c r="B43" s="48" t="inlineStr">
        <is>
          <t>Sunday</t>
        </is>
      </c>
      <c r="C43" s="47" t="inlineStr">
        <is>
          <t>10-May-26</t>
        </is>
      </c>
      <c r="D43" s="47" t="inlineStr">
        <is>
          <t>12:02:47</t>
        </is>
      </c>
      <c r="E43" s="47" t="inlineStr">
        <is>
          <t>12:00:00</t>
        </is>
      </c>
      <c r="F43" s="47" t="n">
        <v>167</v>
      </c>
      <c r="G43" s="47" t="inlineStr">
        <is>
          <t>12:02:57</t>
        </is>
      </c>
      <c r="H43" s="47" t="inlineStr">
        <is>
          <t>12:03:43</t>
        </is>
      </c>
      <c r="I43" s="47" t="n">
        <v>46</v>
      </c>
      <c r="J43" s="47" t="n">
        <v>2</v>
      </c>
    </row>
    <row r="44" ht="18" customHeight="1">
      <c r="A44" s="47" t="n">
        <v>37</v>
      </c>
      <c r="B44" s="48" t="inlineStr">
        <is>
          <t>Sunday</t>
        </is>
      </c>
      <c r="C44" s="47" t="inlineStr">
        <is>
          <t>10-May-26</t>
        </is>
      </c>
      <c r="D44" s="47" t="inlineStr">
        <is>
          <t>12:04:22</t>
        </is>
      </c>
      <c r="E44" s="47" t="inlineStr">
        <is>
          <t>12:02:47</t>
        </is>
      </c>
      <c r="F44" s="47" t="n">
        <v>95</v>
      </c>
      <c r="G44" s="47" t="inlineStr">
        <is>
          <t>12:04:24</t>
        </is>
      </c>
      <c r="H44" s="47" t="inlineStr">
        <is>
          <t>12:05:02</t>
        </is>
      </c>
      <c r="I44" s="47" t="n">
        <v>38</v>
      </c>
      <c r="J44" s="47" t="n">
        <v>0</v>
      </c>
    </row>
    <row r="45" ht="18" customHeight="1">
      <c r="A45" s="47" t="n">
        <v>38</v>
      </c>
      <c r="B45" s="48" t="inlineStr">
        <is>
          <t>Sunday</t>
        </is>
      </c>
      <c r="C45" s="47" t="inlineStr">
        <is>
          <t>10-May-26</t>
        </is>
      </c>
      <c r="D45" s="47" t="inlineStr">
        <is>
          <t>12:05:46</t>
        </is>
      </c>
      <c r="E45" s="47" t="inlineStr">
        <is>
          <t>12:04:22</t>
        </is>
      </c>
      <c r="F45" s="47" t="n">
        <v>84</v>
      </c>
      <c r="G45" s="47" t="inlineStr">
        <is>
          <t>12:05:46</t>
        </is>
      </c>
      <c r="H45" s="47" t="inlineStr">
        <is>
          <t>12:06:27</t>
        </is>
      </c>
      <c r="I45" s="47" t="n">
        <v>41</v>
      </c>
      <c r="J45" s="47" t="n">
        <v>3</v>
      </c>
    </row>
    <row r="46" ht="18" customHeight="1">
      <c r="A46" s="47" t="n">
        <v>39</v>
      </c>
      <c r="B46" s="48" t="inlineStr">
        <is>
          <t>Sunday</t>
        </is>
      </c>
      <c r="C46" s="47" t="inlineStr">
        <is>
          <t>10-May-26</t>
        </is>
      </c>
      <c r="D46" s="47" t="inlineStr">
        <is>
          <t>12:07:22</t>
        </is>
      </c>
      <c r="E46" s="47" t="inlineStr">
        <is>
          <t>12:05:46</t>
        </is>
      </c>
      <c r="F46" s="47" t="n">
        <v>96</v>
      </c>
      <c r="G46" s="47" t="inlineStr">
        <is>
          <t>12:07:23</t>
        </is>
      </c>
      <c r="H46" s="47" t="inlineStr">
        <is>
          <t>12:07:57</t>
        </is>
      </c>
      <c r="I46" s="47" t="n">
        <v>34</v>
      </c>
      <c r="J46" s="47" t="n">
        <v>3</v>
      </c>
    </row>
    <row r="47" ht="18" customHeight="1">
      <c r="A47" s="47" t="n">
        <v>40</v>
      </c>
      <c r="B47" s="48" t="inlineStr">
        <is>
          <t>Sunday</t>
        </is>
      </c>
      <c r="C47" s="47" t="inlineStr">
        <is>
          <t>10-May-26</t>
        </is>
      </c>
      <c r="D47" s="47" t="inlineStr">
        <is>
          <t>12:08:54</t>
        </is>
      </c>
      <c r="E47" s="47" t="inlineStr">
        <is>
          <t>12:07:22</t>
        </is>
      </c>
      <c r="F47" s="47" t="n">
        <v>92</v>
      </c>
      <c r="G47" s="47" t="inlineStr">
        <is>
          <t>12:09:02</t>
        </is>
      </c>
      <c r="H47" s="47" t="inlineStr">
        <is>
          <t>12:09:51</t>
        </is>
      </c>
      <c r="I47" s="47" t="n">
        <v>49</v>
      </c>
      <c r="J47" s="47" t="n">
        <v>5</v>
      </c>
    </row>
    <row r="48" ht="18" customHeight="1">
      <c r="A48" s="47" t="n">
        <v>41</v>
      </c>
      <c r="B48" s="48" t="inlineStr">
        <is>
          <t>Sunday</t>
        </is>
      </c>
      <c r="C48" s="47" t="inlineStr">
        <is>
          <t>10-May-26</t>
        </is>
      </c>
      <c r="D48" s="47" t="inlineStr">
        <is>
          <t>12:11:35</t>
        </is>
      </c>
      <c r="E48" s="47" t="inlineStr">
        <is>
          <t>12:08:54</t>
        </is>
      </c>
      <c r="F48" s="47" t="n">
        <v>161</v>
      </c>
      <c r="G48" s="47" t="inlineStr">
        <is>
          <t>12:11:38</t>
        </is>
      </c>
      <c r="H48" s="47" t="inlineStr">
        <is>
          <t>12:12:39</t>
        </is>
      </c>
      <c r="I48" s="47" t="n">
        <v>61</v>
      </c>
      <c r="J48" s="47" t="n">
        <v>3</v>
      </c>
    </row>
    <row r="49" ht="18" customHeight="1">
      <c r="A49" s="47" t="n">
        <v>42</v>
      </c>
      <c r="B49" s="48" t="inlineStr">
        <is>
          <t>Sunday</t>
        </is>
      </c>
      <c r="C49" s="47" t="inlineStr">
        <is>
          <t>10-May-26</t>
        </is>
      </c>
      <c r="D49" s="47" t="inlineStr">
        <is>
          <t>12:13:21</t>
        </is>
      </c>
      <c r="E49" s="47" t="inlineStr">
        <is>
          <t>12:11:35</t>
        </is>
      </c>
      <c r="F49" s="47" t="n">
        <v>106</v>
      </c>
      <c r="G49" s="47" t="inlineStr">
        <is>
          <t>12:13:27</t>
        </is>
      </c>
      <c r="H49" s="47" t="inlineStr">
        <is>
          <t>12:14:08</t>
        </is>
      </c>
      <c r="I49" s="47" t="n">
        <v>41</v>
      </c>
      <c r="J49" s="47" t="n">
        <v>1</v>
      </c>
    </row>
    <row r="50" ht="18" customHeight="1">
      <c r="A50" s="47" t="n">
        <v>43</v>
      </c>
      <c r="B50" s="48" t="inlineStr">
        <is>
          <t>Sunday</t>
        </is>
      </c>
      <c r="C50" s="47" t="inlineStr">
        <is>
          <t>10-May-26</t>
        </is>
      </c>
      <c r="D50" s="47" t="inlineStr">
        <is>
          <t>12:16:41</t>
        </is>
      </c>
      <c r="E50" s="47" t="inlineStr">
        <is>
          <t>12:13:21</t>
        </is>
      </c>
      <c r="F50" s="47" t="n">
        <v>200</v>
      </c>
      <c r="G50" s="47" t="inlineStr">
        <is>
          <t>12:16:41</t>
        </is>
      </c>
      <c r="H50" s="47" t="inlineStr">
        <is>
          <t>12:17:59</t>
        </is>
      </c>
      <c r="I50" s="47" t="n">
        <v>78</v>
      </c>
      <c r="J50" s="47" t="n">
        <v>2</v>
      </c>
    </row>
    <row r="51" ht="18" customHeight="1">
      <c r="A51" s="47" t="n">
        <v>44</v>
      </c>
      <c r="B51" s="48" t="inlineStr">
        <is>
          <t>Sunday</t>
        </is>
      </c>
      <c r="C51" s="47" t="inlineStr">
        <is>
          <t>10-May-26</t>
        </is>
      </c>
      <c r="D51" s="47" t="inlineStr">
        <is>
          <t>12:19:50</t>
        </is>
      </c>
      <c r="E51" s="47" t="inlineStr">
        <is>
          <t>12:16:41</t>
        </is>
      </c>
      <c r="F51" s="47" t="n">
        <v>189</v>
      </c>
      <c r="G51" s="47" t="inlineStr">
        <is>
          <t>12:19:50</t>
        </is>
      </c>
      <c r="H51" s="47" t="inlineStr">
        <is>
          <t>12:21:15</t>
        </is>
      </c>
      <c r="I51" s="47" t="n">
        <v>85</v>
      </c>
      <c r="J51" s="47" t="n">
        <v>4</v>
      </c>
    </row>
    <row r="52" ht="18" customHeight="1">
      <c r="A52" s="47" t="n">
        <v>45</v>
      </c>
      <c r="B52" s="48" t="inlineStr">
        <is>
          <t>Sunday</t>
        </is>
      </c>
      <c r="C52" s="47" t="inlineStr">
        <is>
          <t>10-May-26</t>
        </is>
      </c>
      <c r="D52" s="47" t="inlineStr">
        <is>
          <t>12:20:52</t>
        </is>
      </c>
      <c r="E52" s="47" t="inlineStr">
        <is>
          <t>12:19:50</t>
        </is>
      </c>
      <c r="F52" s="47" t="n">
        <v>62</v>
      </c>
      <c r="G52" s="47" t="inlineStr">
        <is>
          <t>12:20:59</t>
        </is>
      </c>
      <c r="H52" s="47" t="inlineStr">
        <is>
          <t>12:21:53</t>
        </is>
      </c>
      <c r="I52" s="47" t="n">
        <v>54</v>
      </c>
      <c r="J52" s="47" t="n">
        <v>4</v>
      </c>
    </row>
    <row r="53" ht="18" customHeight="1">
      <c r="A53" s="47" t="n">
        <v>46</v>
      </c>
      <c r="B53" s="48" t="inlineStr">
        <is>
          <t>Sunday</t>
        </is>
      </c>
      <c r="C53" s="47" t="inlineStr">
        <is>
          <t>10-May-26</t>
        </is>
      </c>
      <c r="D53" s="47" t="inlineStr">
        <is>
          <t>12:23:33</t>
        </is>
      </c>
      <c r="E53" s="47" t="inlineStr">
        <is>
          <t>12:20:52</t>
        </is>
      </c>
      <c r="F53" s="47" t="n">
        <v>161</v>
      </c>
      <c r="G53" s="47" t="inlineStr">
        <is>
          <t>12:23:42</t>
        </is>
      </c>
      <c r="H53" s="47" t="inlineStr">
        <is>
          <t>12:25:00</t>
        </is>
      </c>
      <c r="I53" s="47" t="n">
        <v>78</v>
      </c>
      <c r="J53" s="47" t="n">
        <v>1</v>
      </c>
    </row>
    <row r="54" ht="18" customHeight="1">
      <c r="A54" s="47" t="n">
        <v>47</v>
      </c>
      <c r="B54" s="48" t="inlineStr">
        <is>
          <t>Sunday</t>
        </is>
      </c>
      <c r="C54" s="47" t="inlineStr">
        <is>
          <t>10-May-26</t>
        </is>
      </c>
      <c r="D54" s="47" t="inlineStr">
        <is>
          <t>12:25:32</t>
        </is>
      </c>
      <c r="E54" s="47" t="inlineStr">
        <is>
          <t>12:23:33</t>
        </is>
      </c>
      <c r="F54" s="47" t="n">
        <v>119</v>
      </c>
      <c r="G54" s="47" t="inlineStr">
        <is>
          <t>12:25:41</t>
        </is>
      </c>
      <c r="H54" s="47" t="inlineStr">
        <is>
          <t>12:26:27</t>
        </is>
      </c>
      <c r="I54" s="47" t="n">
        <v>46</v>
      </c>
      <c r="J54" s="47" t="n">
        <v>1</v>
      </c>
    </row>
    <row r="55" ht="18" customHeight="1">
      <c r="A55" s="47" t="n">
        <v>48</v>
      </c>
      <c r="B55" s="48" t="inlineStr">
        <is>
          <t>Sunday</t>
        </is>
      </c>
      <c r="C55" s="47" t="inlineStr">
        <is>
          <t>10-May-26</t>
        </is>
      </c>
      <c r="D55" s="47" t="inlineStr">
        <is>
          <t>12:26:42</t>
        </is>
      </c>
      <c r="E55" s="47" t="inlineStr">
        <is>
          <t>12:25:32</t>
        </is>
      </c>
      <c r="F55" s="47" t="n">
        <v>70</v>
      </c>
      <c r="G55" s="47" t="inlineStr">
        <is>
          <t>12:26:48</t>
        </is>
      </c>
      <c r="H55" s="47" t="inlineStr">
        <is>
          <t>12:27:33</t>
        </is>
      </c>
      <c r="I55" s="47" t="n">
        <v>45</v>
      </c>
      <c r="J55" s="47" t="n">
        <v>1</v>
      </c>
    </row>
    <row r="56" ht="18" customHeight="1">
      <c r="A56" s="47" t="n">
        <v>49</v>
      </c>
      <c r="B56" s="48" t="inlineStr">
        <is>
          <t>Sunday</t>
        </is>
      </c>
      <c r="C56" s="47" t="inlineStr">
        <is>
          <t>10-May-26</t>
        </is>
      </c>
      <c r="D56" s="47" t="inlineStr">
        <is>
          <t>12:28:57</t>
        </is>
      </c>
      <c r="E56" s="47" t="inlineStr">
        <is>
          <t>12:26:42</t>
        </is>
      </c>
      <c r="F56" s="47" t="n">
        <v>135</v>
      </c>
      <c r="G56" s="47" t="inlineStr">
        <is>
          <t>12:29:05</t>
        </is>
      </c>
      <c r="H56" s="47" t="inlineStr">
        <is>
          <t>12:30:27</t>
        </is>
      </c>
      <c r="I56" s="47" t="n">
        <v>82</v>
      </c>
      <c r="J56" s="47" t="n">
        <v>4</v>
      </c>
    </row>
    <row r="57" ht="18" customHeight="1">
      <c r="A57" s="47" t="n">
        <v>50</v>
      </c>
      <c r="B57" s="48" t="inlineStr">
        <is>
          <t>Sunday</t>
        </is>
      </c>
      <c r="C57" s="47" t="inlineStr">
        <is>
          <t>10-May-26</t>
        </is>
      </c>
      <c r="D57" s="47" t="inlineStr">
        <is>
          <t>12:32:02</t>
        </is>
      </c>
      <c r="E57" s="47" t="inlineStr">
        <is>
          <t>12:28:57</t>
        </is>
      </c>
      <c r="F57" s="47" t="n">
        <v>185</v>
      </c>
      <c r="G57" s="47" t="inlineStr">
        <is>
          <t>12:32:03</t>
        </is>
      </c>
      <c r="H57" s="47" t="inlineStr">
        <is>
          <t>12:33:09</t>
        </is>
      </c>
      <c r="I57" s="47" t="n">
        <v>66</v>
      </c>
      <c r="J57" s="47" t="n">
        <v>2</v>
      </c>
    </row>
    <row r="58" ht="18" customHeight="1">
      <c r="A58" s="47" t="n">
        <v>51</v>
      </c>
      <c r="B58" s="48" t="inlineStr">
        <is>
          <t>Sunday</t>
        </is>
      </c>
      <c r="C58" s="47" t="inlineStr">
        <is>
          <t>10-May-26</t>
        </is>
      </c>
      <c r="D58" s="47" t="inlineStr">
        <is>
          <t>12:33:17</t>
        </is>
      </c>
      <c r="E58" s="47" t="inlineStr">
        <is>
          <t>12:32:02</t>
        </is>
      </c>
      <c r="F58" s="47" t="n">
        <v>75</v>
      </c>
      <c r="G58" s="47" t="inlineStr">
        <is>
          <t>12:33:26</t>
        </is>
      </c>
      <c r="H58" s="47" t="inlineStr">
        <is>
          <t>12:34:28</t>
        </is>
      </c>
      <c r="I58" s="47" t="n">
        <v>62</v>
      </c>
      <c r="J58" s="47" t="n">
        <v>3</v>
      </c>
    </row>
    <row r="59" ht="21.75" customHeight="1">
      <c r="A59" s="91" t="inlineStr">
        <is>
          <t>Sunday — Summary</t>
        </is>
      </c>
      <c r="B59" s="123" t="n"/>
      <c r="C59" s="123" t="n"/>
      <c r="D59" s="124" t="n"/>
      <c r="E59" s="43" t="n"/>
      <c r="F59" s="43" t="n"/>
      <c r="G59" s="43" t="n"/>
      <c r="H59" s="43" t="n"/>
      <c r="I59" s="44">
        <f>AVERAGE(I42:I58)</f>
        <v/>
      </c>
      <c r="J59" s="44">
        <f>AVERAGE(J42:J58)</f>
        <v/>
      </c>
    </row>
  </sheetData>
  <mergeCells count="5">
    <mergeCell ref="A1:J1"/>
    <mergeCell ref="A40:D40"/>
    <mergeCell ref="A21:D21"/>
    <mergeCell ref="A59:D59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topLeftCell="A11" zoomScale="133" zoomScaleNormal="108" workbookViewId="0">
      <selection activeCell="O21" sqref="O21"/>
    </sheetView>
  </sheetViews>
  <sheetFormatPr baseColWidth="8" defaultColWidth="8.6640625" defaultRowHeight="14.4"/>
  <cols>
    <col width="4" customWidth="1" min="1" max="1"/>
    <col width="20" customWidth="1" min="2" max="2"/>
    <col width="8" customWidth="1" min="3" max="11"/>
    <col width="9" customWidth="1" min="12" max="13"/>
  </cols>
  <sheetData>
    <row r="1" ht="25.5" customHeight="1">
      <c r="A1" s="3" t="inlineStr">
        <is>
          <t>SHEET 4 — DEMAND FORECASTING  |  Top 5 Items by Volume</t>
        </is>
      </c>
    </row>
    <row r="2" ht="15.75" customHeight="1">
      <c r="A2" s="2" t="inlineStr">
        <is>
          <t>SMA (n=3) · WMA (w=0.5/0.3/0.2) · ES (α=0.3) · MAPE  |  Green = best method per item  |  Actual Mon 11-May obtained from GIKAFE supervisor</t>
        </is>
      </c>
    </row>
    <row r="3"/>
    <row r="4" ht="19.5" customHeight="1">
      <c r="A4" s="92" t="inlineStr">
        <is>
          <t>A — Historical Demand (Actual Units Sold, 10 Days)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</row>
    <row r="5" ht="36" customHeight="1">
      <c r="A5" s="24" t="inlineStr">
        <is>
          <t>#</t>
        </is>
      </c>
      <c r="B5" s="24" t="inlineStr">
        <is>
          <t>Item</t>
        </is>
      </c>
      <c r="C5" s="24" t="inlineStr">
        <is>
          <t>Fri
1-May</t>
        </is>
      </c>
      <c r="D5" s="24" t="inlineStr">
        <is>
          <t>Sat
2-May</t>
        </is>
      </c>
      <c r="E5" s="24" t="inlineStr">
        <is>
          <t>Sun
3-May</t>
        </is>
      </c>
      <c r="F5" s="24" t="inlineStr">
        <is>
          <t>Mon
4-May</t>
        </is>
      </c>
      <c r="G5" s="24" t="inlineStr">
        <is>
          <t>Tue
5-May</t>
        </is>
      </c>
      <c r="H5" s="24" t="inlineStr">
        <is>
          <t>Wed
6-May</t>
        </is>
      </c>
      <c r="J5" s="24" t="inlineStr">
        <is>
          <t>Thu
7-May</t>
        </is>
      </c>
      <c r="K5" s="24" t="inlineStr">
        <is>
          <t>Fri
8-May</t>
        </is>
      </c>
      <c r="L5" s="24" t="inlineStr">
        <is>
          <t>Sat
9-May</t>
        </is>
      </c>
      <c r="M5" s="24" t="inlineStr">
        <is>
          <t>Sun
10-May</t>
        </is>
      </c>
      <c r="N5" s="24" t="inlineStr">
        <is>
          <t>Avg</t>
        </is>
      </c>
    </row>
    <row r="6" ht="19.5" customHeight="1">
      <c r="A6" s="49" t="n">
        <v>1</v>
      </c>
      <c r="B6" s="50" t="inlineStr">
        <is>
          <t>Naan</t>
        </is>
      </c>
      <c r="C6" s="49" t="n">
        <v>55</v>
      </c>
      <c r="D6" s="49" t="n">
        <v>62</v>
      </c>
      <c r="E6" s="49" t="n">
        <v>67</v>
      </c>
      <c r="F6" s="49" t="n">
        <v>62</v>
      </c>
      <c r="G6" s="49" t="n">
        <v>64</v>
      </c>
      <c r="H6" s="49" t="n">
        <v>56</v>
      </c>
      <c r="J6" s="49" t="n">
        <v>62</v>
      </c>
      <c r="K6" s="49" t="n">
        <v>62</v>
      </c>
      <c r="L6" s="49" t="n">
        <v>64</v>
      </c>
      <c r="M6" s="49" t="n">
        <v>63</v>
      </c>
      <c r="N6" s="51">
        <f>AVERAGE(C6:L6)</f>
        <v/>
      </c>
    </row>
    <row r="7" ht="19.5" customHeight="1">
      <c r="A7" s="52" t="n">
        <v>2</v>
      </c>
      <c r="B7" s="53" t="inlineStr">
        <is>
          <t>Tea / Chai</t>
        </is>
      </c>
      <c r="C7" s="52" t="n">
        <v>46</v>
      </c>
      <c r="D7" s="52" t="n">
        <v>50</v>
      </c>
      <c r="E7" s="52" t="n">
        <v>55</v>
      </c>
      <c r="F7" s="52" t="n">
        <v>44</v>
      </c>
      <c r="G7" s="52" t="n">
        <v>53</v>
      </c>
      <c r="H7" s="52" t="n">
        <v>48</v>
      </c>
      <c r="J7" s="52" t="n">
        <v>54</v>
      </c>
      <c r="K7" s="52" t="n">
        <v>50</v>
      </c>
      <c r="L7" s="52" t="n">
        <v>52</v>
      </c>
      <c r="M7" s="52" t="n">
        <v>50</v>
      </c>
      <c r="N7" s="51">
        <f>AVERAGE(C7:L7)</f>
        <v/>
      </c>
    </row>
    <row r="8" ht="19.5" customHeight="1">
      <c r="A8" s="49" t="n">
        <v>3</v>
      </c>
      <c r="B8" s="50" t="inlineStr">
        <is>
          <t>Chicken Biryani</t>
        </is>
      </c>
      <c r="C8" s="49" t="n">
        <v>44</v>
      </c>
      <c r="D8" s="49" t="n">
        <v>48</v>
      </c>
      <c r="E8" s="49" t="n">
        <v>47</v>
      </c>
      <c r="F8" s="49" t="n">
        <v>49</v>
      </c>
      <c r="G8" s="49" t="n">
        <v>45</v>
      </c>
      <c r="H8" s="49" t="n">
        <v>48</v>
      </c>
      <c r="J8" s="49" t="n">
        <v>47</v>
      </c>
      <c r="K8" s="49" t="n">
        <v>45</v>
      </c>
      <c r="L8" s="49" t="n">
        <v>43</v>
      </c>
      <c r="M8" s="49" t="n">
        <v>45</v>
      </c>
      <c r="N8" s="51">
        <f>AVERAGE(C8:L8)</f>
        <v/>
      </c>
    </row>
    <row r="9" ht="19.5" customHeight="1">
      <c r="A9" s="52" t="n">
        <v>4</v>
      </c>
      <c r="B9" s="53" t="inlineStr">
        <is>
          <t>Daal Chawal</t>
        </is>
      </c>
      <c r="C9" s="52" t="n">
        <v>44</v>
      </c>
      <c r="D9" s="52" t="n">
        <v>37</v>
      </c>
      <c r="E9" s="52" t="n">
        <v>44</v>
      </c>
      <c r="F9" s="52" t="n">
        <v>38</v>
      </c>
      <c r="G9" s="52" t="n">
        <v>47</v>
      </c>
      <c r="H9" s="52" t="n">
        <v>47</v>
      </c>
      <c r="J9" s="52" t="n">
        <v>42</v>
      </c>
      <c r="K9" s="52" t="n">
        <v>48</v>
      </c>
      <c r="L9" s="52" t="n">
        <v>43</v>
      </c>
      <c r="M9" s="52" t="n">
        <v>42</v>
      </c>
      <c r="N9" s="51">
        <f>AVERAGE(C9:L9)</f>
        <v/>
      </c>
    </row>
    <row r="10" ht="19.5" customHeight="1">
      <c r="A10" s="49" t="n">
        <v>5</v>
      </c>
      <c r="B10" s="50" t="inlineStr">
        <is>
          <t>Mineral Water</t>
        </is>
      </c>
      <c r="C10" s="49" t="n">
        <v>42</v>
      </c>
      <c r="D10" s="49" t="n">
        <v>45</v>
      </c>
      <c r="E10" s="49" t="n">
        <v>46</v>
      </c>
      <c r="F10" s="49" t="n">
        <v>45</v>
      </c>
      <c r="G10" s="49" t="n">
        <v>42</v>
      </c>
      <c r="H10" s="49" t="n">
        <v>44</v>
      </c>
      <c r="J10" s="49" t="n">
        <v>42</v>
      </c>
      <c r="K10" s="49" t="n">
        <v>44</v>
      </c>
      <c r="L10" s="49" t="n">
        <v>39</v>
      </c>
      <c r="M10" s="49" t="n">
        <v>40</v>
      </c>
      <c r="N10" s="51">
        <f>AVERAGE(C10:L10)</f>
        <v/>
      </c>
    </row>
    <row r="11"/>
    <row r="12" ht="19.5" customHeight="1">
      <c r="A12" s="92" t="inlineStr">
        <is>
          <t>B — Forecast Comparison (Day 11 from Days 8–10)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</row>
    <row r="13" ht="37.5" customHeight="1">
      <c r="A13" s="24" t="inlineStr">
        <is>
          <t>#</t>
        </is>
      </c>
      <c r="B13" s="24" t="inlineStr">
        <is>
          <t>Item</t>
        </is>
      </c>
      <c r="C13" s="24" t="inlineStr">
        <is>
          <t>D8</t>
        </is>
      </c>
      <c r="D13" s="24" t="inlineStr">
        <is>
          <t>D9</t>
        </is>
      </c>
      <c r="E13" s="24" t="inlineStr">
        <is>
          <t>D10</t>
        </is>
      </c>
      <c r="F13" s="24" t="inlineStr">
        <is>
          <t>SMA</t>
        </is>
      </c>
      <c r="G13" s="24" t="inlineStr">
        <is>
          <t>WMA</t>
        </is>
      </c>
      <c r="H13" s="24" t="inlineStr">
        <is>
          <t>ES</t>
        </is>
      </c>
      <c r="I13" s="54" t="inlineStr">
        <is>
          <t>Actual 11-May</t>
        </is>
      </c>
      <c r="J13" s="24" t="inlineStr">
        <is>
          <t>SMA
Err</t>
        </is>
      </c>
      <c r="K13" s="24" t="inlineStr">
        <is>
          <t>WMA
Err</t>
        </is>
      </c>
      <c r="L13" s="24" t="inlineStr">
        <is>
          <t>ES
Err</t>
        </is>
      </c>
      <c r="M13" s="24" t="inlineStr">
        <is>
          <t>SMA
MAPE%</t>
        </is>
      </c>
      <c r="N13" s="24" t="inlineStr">
        <is>
          <t>WMA
MAPE%</t>
        </is>
      </c>
      <c r="O13" s="24" t="inlineStr">
        <is>
          <t>ES
MAPE%</t>
        </is>
      </c>
    </row>
    <row r="14" ht="19.5" customHeight="1">
      <c r="A14" s="49" t="n">
        <v>1</v>
      </c>
      <c r="B14" s="50" t="inlineStr">
        <is>
          <t>Naan</t>
        </is>
      </c>
      <c r="C14" s="49">
        <f>J6</f>
        <v/>
      </c>
      <c r="D14" s="49">
        <f>K6</f>
        <v/>
      </c>
      <c r="E14" s="49">
        <f>L6</f>
        <v/>
      </c>
      <c r="F14" s="49">
        <f>ROUND(AVERAGE(C14:E14),1)</f>
        <v/>
      </c>
      <c r="G14" s="49">
        <f>ROUND(0.5*E14+0.3*D14+0.2*C14,1)</f>
        <v/>
      </c>
      <c r="H14" s="49" t="n">
        <v>62.2</v>
      </c>
      <c r="I14" s="55" t="n">
        <v>64</v>
      </c>
      <c r="J14" s="49">
        <f>ROUND(ABS(I14-F14),1)</f>
        <v/>
      </c>
      <c r="K14" s="49">
        <f>ROUND(ABS(I14-G14),1)</f>
        <v/>
      </c>
      <c r="L14" s="49">
        <f>ROUND(ABS(I14-H14),1)</f>
        <v/>
      </c>
      <c r="M14" s="49">
        <f>ROUND(J14/I14*100,1)</f>
        <v/>
      </c>
      <c r="N14" s="56">
        <f>ROUND(K14/I14*100,1)</f>
        <v/>
      </c>
      <c r="O14" s="49">
        <f>ROUND(L14/I14*100,1)</f>
        <v/>
      </c>
    </row>
    <row r="15" ht="19.5" customHeight="1">
      <c r="A15" s="52" t="n">
        <v>2</v>
      </c>
      <c r="B15" s="53" t="inlineStr">
        <is>
          <t>Tea / Chai</t>
        </is>
      </c>
      <c r="C15" s="52">
        <f>J7</f>
        <v/>
      </c>
      <c r="D15" s="52">
        <f>K7</f>
        <v/>
      </c>
      <c r="E15" s="52">
        <f>L7</f>
        <v/>
      </c>
      <c r="F15" s="52">
        <f>ROUND(AVERAGE(C15:E15),1)</f>
        <v/>
      </c>
      <c r="G15" s="52">
        <f>ROUND(0.5*E15+0.3*D15+0.2*C15,1)</f>
        <v/>
      </c>
      <c r="H15" s="52" t="n">
        <v>50.6</v>
      </c>
      <c r="I15" s="55" t="n">
        <v>51</v>
      </c>
      <c r="J15" s="52">
        <f>ROUND(ABS(I15-F15),1)</f>
        <v/>
      </c>
      <c r="K15" s="52">
        <f>ROUND(ABS(I15-G15),1)</f>
        <v/>
      </c>
      <c r="L15" s="52">
        <f>ROUND(ABS(I15-H15),1)</f>
        <v/>
      </c>
      <c r="M15" s="52">
        <f>ROUND(J15/I15*100,1)</f>
        <v/>
      </c>
      <c r="N15" s="52">
        <f>ROUND(K15/I15*100,1)</f>
        <v/>
      </c>
      <c r="O15" s="56">
        <f>ROUND(L15/I15*100,1)</f>
        <v/>
      </c>
    </row>
    <row r="16" ht="19.5" customHeight="1">
      <c r="A16" s="49" t="n">
        <v>3</v>
      </c>
      <c r="B16" s="50" t="inlineStr">
        <is>
          <t>Chicken Biryani</t>
        </is>
      </c>
      <c r="C16" s="49">
        <f>J8</f>
        <v/>
      </c>
      <c r="D16" s="49">
        <f>K8</f>
        <v/>
      </c>
      <c r="E16" s="49">
        <f>L8</f>
        <v/>
      </c>
      <c r="F16" s="49">
        <f>ROUND(AVERAGE(C16:E16),1)</f>
        <v/>
      </c>
      <c r="G16" s="49">
        <f>ROUND(0.5*E16+0.3*D16+0.2*C16,1)</f>
        <v/>
      </c>
      <c r="H16" s="49" t="n">
        <v>45.2</v>
      </c>
      <c r="I16" s="55" t="n">
        <v>44</v>
      </c>
      <c r="J16" s="49">
        <f>ROUND(ABS(I16-F16),1)</f>
        <v/>
      </c>
      <c r="K16" s="49">
        <f>ROUND(ABS(I16-G16),1)</f>
        <v/>
      </c>
      <c r="L16" s="49">
        <f>ROUND(ABS(I16-H16),1)</f>
        <v/>
      </c>
      <c r="M16" s="49">
        <f>ROUND(J16/I16*100,1)</f>
        <v/>
      </c>
      <c r="N16" s="56">
        <f>ROUND(K16/I16*100,1)</f>
        <v/>
      </c>
      <c r="O16" s="49">
        <f>ROUND(L16/I16*100,1)</f>
        <v/>
      </c>
    </row>
    <row r="17" ht="19.5" customHeight="1">
      <c r="A17" s="52" t="n">
        <v>4</v>
      </c>
      <c r="B17" s="53" t="inlineStr">
        <is>
          <t>Daal Chawal</t>
        </is>
      </c>
      <c r="C17" s="52">
        <f>J9</f>
        <v/>
      </c>
      <c r="D17" s="52">
        <f>K9</f>
        <v/>
      </c>
      <c r="E17" s="52">
        <f>L9</f>
        <v/>
      </c>
      <c r="F17" s="52">
        <f>ROUND(AVERAGE(C17:E17),1)</f>
        <v/>
      </c>
      <c r="G17" s="52">
        <f>ROUND(0.5*E17+0.3*D17+0.2*C17,1)</f>
        <v/>
      </c>
      <c r="H17" s="52" t="n">
        <v>43.6</v>
      </c>
      <c r="I17" s="55" t="n">
        <v>44</v>
      </c>
      <c r="J17" s="52">
        <f>ROUND(ABS(I17-F17),1)</f>
        <v/>
      </c>
      <c r="K17" s="52">
        <f>ROUND(ABS(I17-G17),1)</f>
        <v/>
      </c>
      <c r="L17" s="52">
        <f>ROUND(ABS(I17-H17),1)</f>
        <v/>
      </c>
      <c r="M17" s="56">
        <f>ROUND(J17/I17*100,1)</f>
        <v/>
      </c>
      <c r="N17" s="52">
        <f>ROUND(K17/I17*100,1)</f>
        <v/>
      </c>
      <c r="O17" s="52">
        <f>ROUND(L17/I17*100,1)</f>
        <v/>
      </c>
    </row>
    <row r="18" ht="19.5" customHeight="1">
      <c r="A18" s="49" t="n">
        <v>5</v>
      </c>
      <c r="B18" s="50" t="inlineStr">
        <is>
          <t>Mineral Water</t>
        </is>
      </c>
      <c r="C18" s="49">
        <f>J10</f>
        <v/>
      </c>
      <c r="D18" s="49">
        <f>K10</f>
        <v/>
      </c>
      <c r="E18" s="49">
        <f>L10</f>
        <v/>
      </c>
      <c r="F18" s="49">
        <f>ROUND(AVERAGE(C18:E18),1)</f>
        <v/>
      </c>
      <c r="G18" s="49">
        <f>ROUND(0.5*E18+0.3*D18+0.2*C18,1)</f>
        <v/>
      </c>
      <c r="H18" s="49" t="n">
        <v>41.5</v>
      </c>
      <c r="I18" s="55" t="n">
        <v>41</v>
      </c>
      <c r="J18" s="49">
        <f>ROUND(ABS(I18-F18),1)</f>
        <v/>
      </c>
      <c r="K18" s="49">
        <f>ROUND(ABS(I18-G18),1)</f>
        <v/>
      </c>
      <c r="L18" s="49">
        <f>ROUND(ABS(I18-H18),1)</f>
        <v/>
      </c>
      <c r="M18" s="49">
        <f>ROUND(J18/I18*100,1)</f>
        <v/>
      </c>
      <c r="N18" s="56">
        <f>ROUND(K18/I18*100,1)</f>
        <v/>
      </c>
      <c r="O18" s="49">
        <f>ROUND(L18/I18*100,1)</f>
        <v/>
      </c>
    </row>
    <row r="19"/>
    <row r="20" ht="19.5" customHeight="1">
      <c r="A20" s="111" t="inlineStr">
        <is>
          <t>→ WMA recommended: lowest avg MAPE vs Actual Mon. Actual Mon 11-May confirmed by GIKAFE supervisor. Use WMA for daily ordering.</t>
        </is>
      </c>
      <c r="B20" s="121" t="n"/>
      <c r="C20" s="121" t="n"/>
      <c r="D20" s="121" t="n"/>
      <c r="E20" s="121" t="n"/>
      <c r="F20" s="121" t="n"/>
      <c r="G20" s="121" t="n"/>
      <c r="H20" s="121" t="n"/>
      <c r="I20" s="121" t="n"/>
      <c r="J20" s="121" t="n"/>
      <c r="K20" s="121" t="n"/>
      <c r="L20" s="121" t="n"/>
      <c r="M20" s="121" t="n"/>
      <c r="N20" s="121" t="n"/>
      <c r="O20" s="122" t="n"/>
    </row>
  </sheetData>
  <mergeCells count="5">
    <mergeCell ref="A12:O12"/>
    <mergeCell ref="A20:O20"/>
    <mergeCell ref="A1:M1"/>
    <mergeCell ref="A4:N4"/>
    <mergeCell ref="A2:M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topLeftCell="B7" zoomScaleNormal="100" workbookViewId="0">
      <selection activeCell="K25" sqref="K25"/>
    </sheetView>
  </sheetViews>
  <sheetFormatPr baseColWidth="8" defaultColWidth="8.6640625" defaultRowHeight="14.4"/>
  <cols>
    <col width="6" customWidth="1" min="1" max="1"/>
    <col width="22" customWidth="1" min="2" max="2"/>
    <col width="11" customWidth="1" min="3" max="4"/>
    <col width="10" customWidth="1" min="5" max="5"/>
    <col width="13" customWidth="1" min="6" max="6"/>
    <col width="14" customWidth="1" min="7" max="8"/>
    <col width="11" customWidth="1" min="9" max="9"/>
    <col width="7" customWidth="1" min="10" max="10"/>
    <col width="18" customWidth="1" min="11" max="11"/>
  </cols>
  <sheetData>
    <row r="1" ht="25.5" customHeight="1">
      <c r="A1" s="3" t="inlineStr">
        <is>
          <t>SHEET 5 — ABC INVENTORY CLASSIFICATION  |  GIKAFE</t>
        </is>
      </c>
    </row>
    <row r="2" ht="15.75" customHeight="1">
      <c r="A2" s="2" t="inlineStr">
        <is>
          <t>Ann. Value = Daily Avg × 313 days × Price  |  A=top 70%  B=next 20%  C=bottom 10%</t>
        </is>
      </c>
    </row>
    <row r="3" ht="31.5" customHeight="1">
      <c r="A3" s="24" t="inlineStr">
        <is>
          <t>Rank</t>
        </is>
      </c>
      <c r="B3" s="24" t="inlineStr">
        <is>
          <t>Item</t>
        </is>
      </c>
      <c r="C3" s="24" t="inlineStr">
        <is>
          <t>Cat.</t>
        </is>
      </c>
      <c r="D3" s="24" t="inlineStr">
        <is>
          <t>Price
(PKR)</t>
        </is>
      </c>
      <c r="E3" s="24" t="inlineStr">
        <is>
          <t>Daily
Avg</t>
        </is>
      </c>
      <c r="F3" s="24" t="inlineStr">
        <is>
          <t>Ann.
Demand</t>
        </is>
      </c>
      <c r="G3" s="24" t="inlineStr">
        <is>
          <t>Ann. Value
(PKR)</t>
        </is>
      </c>
      <c r="H3" s="24" t="inlineStr">
        <is>
          <t>Cum.
Value</t>
        </is>
      </c>
      <c r="I3" s="24" t="inlineStr">
        <is>
          <t>Cum.
%</t>
        </is>
      </c>
      <c r="J3" s="24" t="inlineStr">
        <is>
          <t>Class</t>
        </is>
      </c>
      <c r="K3" s="24" t="inlineStr">
        <is>
          <t>Priority</t>
        </is>
      </c>
    </row>
    <row r="4" ht="19.5" customHeight="1">
      <c r="A4" s="52" t="n">
        <v>1</v>
      </c>
      <c r="B4" s="53" t="inlineStr">
        <is>
          <t>Chicken Biryani</t>
        </is>
      </c>
      <c r="C4" s="53" t="inlineStr">
        <is>
          <t>Main Meal</t>
        </is>
      </c>
      <c r="D4" s="52" t="n">
        <v>200</v>
      </c>
      <c r="E4" s="52" t="n">
        <v>44.3</v>
      </c>
      <c r="F4" s="52">
        <f>ROUND(E4*313,0)</f>
        <v/>
      </c>
      <c r="G4" s="57">
        <f>D4*F4</f>
        <v/>
      </c>
      <c r="H4" s="57">
        <f>SUM(G4:G4)</f>
        <v/>
      </c>
      <c r="I4" s="58">
        <f>H4/SUM(G4:G19)</f>
        <v/>
      </c>
      <c r="J4" s="59" t="inlineStr">
        <is>
          <t>A</t>
        </is>
      </c>
      <c r="K4" s="60" t="inlineStr">
        <is>
          <t>High — weekly</t>
        </is>
      </c>
    </row>
    <row r="5" ht="19.5" customHeight="1">
      <c r="A5" s="49" t="n">
        <v>2</v>
      </c>
      <c r="B5" s="50" t="inlineStr">
        <is>
          <t>Chicken Karhai + Rice</t>
        </is>
      </c>
      <c r="C5" s="50" t="inlineStr">
        <is>
          <t>Main Meal</t>
        </is>
      </c>
      <c r="D5" s="49" t="n">
        <v>250</v>
      </c>
      <c r="E5" s="49" t="n">
        <v>29.7</v>
      </c>
      <c r="F5" s="49">
        <f>ROUND(E5*313,0)</f>
        <v/>
      </c>
      <c r="G5" s="61">
        <f>D5*F5</f>
        <v/>
      </c>
      <c r="H5" s="61">
        <f>SUM(G4:G5)</f>
        <v/>
      </c>
      <c r="I5" s="62">
        <f>H5/SUM(G4:G19)</f>
        <v/>
      </c>
      <c r="J5" s="59" t="inlineStr">
        <is>
          <t>A</t>
        </is>
      </c>
      <c r="K5" s="60" t="inlineStr">
        <is>
          <t>High — weekly</t>
        </is>
      </c>
    </row>
    <row r="6" ht="19.5" customHeight="1">
      <c r="A6" s="52" t="n">
        <v>3</v>
      </c>
      <c r="B6" s="53" t="inlineStr">
        <is>
          <t>Daal Chawal</t>
        </is>
      </c>
      <c r="C6" s="53" t="inlineStr">
        <is>
          <t>Main Meal</t>
        </is>
      </c>
      <c r="D6" s="52" t="n">
        <v>150</v>
      </c>
      <c r="E6" s="52" t="n">
        <v>44.3</v>
      </c>
      <c r="F6" s="52">
        <f>ROUND(E6*313,0)</f>
        <v/>
      </c>
      <c r="G6" s="57">
        <f>D6*F6</f>
        <v/>
      </c>
      <c r="H6" s="57">
        <f>SUM(G4:G6)</f>
        <v/>
      </c>
      <c r="I6" s="58">
        <f>H6/SUM(G4:G19)</f>
        <v/>
      </c>
      <c r="J6" s="59" t="inlineStr">
        <is>
          <t>A</t>
        </is>
      </c>
      <c r="K6" s="60" t="inlineStr">
        <is>
          <t>High — weekly</t>
        </is>
      </c>
    </row>
    <row r="7" ht="19.5" customHeight="1">
      <c r="A7" s="49" t="n">
        <v>4</v>
      </c>
      <c r="B7" s="50" t="inlineStr">
        <is>
          <t>Chicken Tikka</t>
        </is>
      </c>
      <c r="C7" s="50" t="inlineStr">
        <is>
          <t>Snack</t>
        </is>
      </c>
      <c r="D7" s="49" t="n">
        <v>220</v>
      </c>
      <c r="E7" s="49" t="n">
        <v>24.3</v>
      </c>
      <c r="F7" s="49">
        <f>ROUND(E7*313,0)</f>
        <v/>
      </c>
      <c r="G7" s="61">
        <f>D7*F7</f>
        <v/>
      </c>
      <c r="H7" s="61">
        <f>SUM(G4:G7)</f>
        <v/>
      </c>
      <c r="I7" s="62">
        <f>H7/SUM(G4:G19)</f>
        <v/>
      </c>
      <c r="J7" s="59" t="inlineStr">
        <is>
          <t>A</t>
        </is>
      </c>
      <c r="K7" s="60" t="inlineStr">
        <is>
          <t>High — weekly</t>
        </is>
      </c>
    </row>
    <row r="8" ht="19.5" customHeight="1">
      <c r="A8" s="52" t="n">
        <v>5</v>
      </c>
      <c r="B8" s="53" t="inlineStr">
        <is>
          <t>Chicken Burger</t>
        </is>
      </c>
      <c r="C8" s="53" t="inlineStr">
        <is>
          <t>Snack</t>
        </is>
      </c>
      <c r="D8" s="52" t="n">
        <v>250</v>
      </c>
      <c r="E8" s="52" t="n">
        <v>17</v>
      </c>
      <c r="F8" s="52">
        <f>ROUND(E8*313,0)</f>
        <v/>
      </c>
      <c r="G8" s="57">
        <f>D8*F8</f>
        <v/>
      </c>
      <c r="H8" s="57">
        <f>SUM(G4:G8)</f>
        <v/>
      </c>
      <c r="I8" s="58">
        <f>H8/SUM(G4:G19)</f>
        <v/>
      </c>
      <c r="J8" s="59" t="inlineStr">
        <is>
          <t>A</t>
        </is>
      </c>
      <c r="K8" s="60" t="inlineStr">
        <is>
          <t>High — weekly</t>
        </is>
      </c>
    </row>
    <row r="9" ht="19.5" customHeight="1">
      <c r="A9" s="49" t="n">
        <v>6</v>
      </c>
      <c r="B9" s="50" t="inlineStr">
        <is>
          <t>Tea / Chai</t>
        </is>
      </c>
      <c r="C9" s="50" t="inlineStr">
        <is>
          <t>Beverage</t>
        </is>
      </c>
      <c r="D9" s="49" t="n">
        <v>60</v>
      </c>
      <c r="E9" s="49" t="n">
        <v>50.7</v>
      </c>
      <c r="F9" s="49">
        <f>ROUND(E9*313,0)</f>
        <v/>
      </c>
      <c r="G9" s="61">
        <f>D9*F9</f>
        <v/>
      </c>
      <c r="H9" s="61">
        <f>SUM(G4:G9)</f>
        <v/>
      </c>
      <c r="I9" s="62">
        <f>H9/SUM(G4:G19)</f>
        <v/>
      </c>
      <c r="J9" s="59" t="inlineStr">
        <is>
          <t>A</t>
        </is>
      </c>
      <c r="K9" s="60" t="inlineStr">
        <is>
          <t>High — weekly</t>
        </is>
      </c>
    </row>
    <row r="10" ht="19.5" customHeight="1">
      <c r="A10" s="52" t="n">
        <v>7</v>
      </c>
      <c r="B10" s="53" t="inlineStr">
        <is>
          <t>Vegetable Pulao</t>
        </is>
      </c>
      <c r="C10" s="53" t="inlineStr">
        <is>
          <t>Main Meal</t>
        </is>
      </c>
      <c r="D10" s="52" t="n">
        <v>150</v>
      </c>
      <c r="E10" s="52" t="n">
        <v>19.3</v>
      </c>
      <c r="F10" s="52">
        <f>ROUND(E10*313,0)</f>
        <v/>
      </c>
      <c r="G10" s="57">
        <f>D10*F10</f>
        <v/>
      </c>
      <c r="H10" s="57">
        <f>SUM(G4:G10)</f>
        <v/>
      </c>
      <c r="I10" s="58">
        <f>H10/SUM(G4:G19)</f>
        <v/>
      </c>
      <c r="J10" s="63" t="inlineStr">
        <is>
          <t>B</t>
        </is>
      </c>
      <c r="K10" s="64" t="inlineStr">
        <is>
          <t>Medium — bi-weekly</t>
        </is>
      </c>
    </row>
    <row r="11" ht="19.5" customHeight="1">
      <c r="A11" s="49" t="n">
        <v>8</v>
      </c>
      <c r="B11" s="50" t="inlineStr">
        <is>
          <t>Mineral Water</t>
        </is>
      </c>
      <c r="C11" s="50" t="inlineStr">
        <is>
          <t>Beverage</t>
        </is>
      </c>
      <c r="D11" s="49" t="n">
        <v>70</v>
      </c>
      <c r="E11" s="49" t="n">
        <v>41</v>
      </c>
      <c r="F11" s="49">
        <f>ROUND(E11*313,0)</f>
        <v/>
      </c>
      <c r="G11" s="61">
        <f>D11*F11</f>
        <v/>
      </c>
      <c r="H11" s="61">
        <f>SUM(G4:G11)</f>
        <v/>
      </c>
      <c r="I11" s="62">
        <f>H11/SUM(G4:G19)</f>
        <v/>
      </c>
      <c r="J11" s="63" t="inlineStr">
        <is>
          <t>B</t>
        </is>
      </c>
      <c r="K11" s="64" t="inlineStr">
        <is>
          <t>Medium — bi-weekly</t>
        </is>
      </c>
    </row>
    <row r="12" ht="19.5" customHeight="1">
      <c r="A12" s="52" t="n">
        <v>9</v>
      </c>
      <c r="B12" s="53" t="inlineStr">
        <is>
          <t>Cold Drink</t>
        </is>
      </c>
      <c r="C12" s="53" t="inlineStr">
        <is>
          <t>Beverage</t>
        </is>
      </c>
      <c r="D12" s="52" t="n">
        <v>80</v>
      </c>
      <c r="E12" s="52" t="n">
        <v>28.3</v>
      </c>
      <c r="F12" s="52">
        <f>ROUND(E12*313,0)</f>
        <v/>
      </c>
      <c r="G12" s="57">
        <f>D12*F12</f>
        <v/>
      </c>
      <c r="H12" s="57">
        <f>SUM(G4:G12)</f>
        <v/>
      </c>
      <c r="I12" s="58">
        <f>H12/SUM(G4:G19)</f>
        <v/>
      </c>
      <c r="J12" s="63" t="inlineStr">
        <is>
          <t>B</t>
        </is>
      </c>
      <c r="K12" s="64" t="inlineStr">
        <is>
          <t>Medium — bi-weekly</t>
        </is>
      </c>
    </row>
    <row r="13" ht="19.5" customHeight="1">
      <c r="A13" s="49" t="n">
        <v>10</v>
      </c>
      <c r="B13" s="50" t="inlineStr">
        <is>
          <t>Raita</t>
        </is>
      </c>
      <c r="C13" s="50" t="inlineStr">
        <is>
          <t>Condiment</t>
        </is>
      </c>
      <c r="D13" s="49" t="n">
        <v>80</v>
      </c>
      <c r="E13" s="49" t="n">
        <v>26.3</v>
      </c>
      <c r="F13" s="49">
        <f>ROUND(E13*313,0)</f>
        <v/>
      </c>
      <c r="G13" s="61">
        <f>D13*F13</f>
        <v/>
      </c>
      <c r="H13" s="61">
        <f>SUM(G4:G13)</f>
        <v/>
      </c>
      <c r="I13" s="62">
        <f>H13/SUM(G4:G19)</f>
        <v/>
      </c>
      <c r="J13" s="63" t="inlineStr">
        <is>
          <t>B</t>
        </is>
      </c>
      <c r="K13" s="64" t="inlineStr">
        <is>
          <t>Medium — bi-weekly</t>
        </is>
      </c>
    </row>
    <row r="14" ht="19.5" customHeight="1">
      <c r="A14" s="52" t="n">
        <v>11</v>
      </c>
      <c r="B14" s="53" t="inlineStr">
        <is>
          <t>Aloo Sabzi</t>
        </is>
      </c>
      <c r="C14" s="53" t="inlineStr">
        <is>
          <t>Side</t>
        </is>
      </c>
      <c r="D14" s="52" t="n">
        <v>100</v>
      </c>
      <c r="E14" s="52" t="n">
        <v>16.7</v>
      </c>
      <c r="F14" s="52">
        <f>ROUND(E14*313,0)</f>
        <v/>
      </c>
      <c r="G14" s="57">
        <f>D14*F14</f>
        <v/>
      </c>
      <c r="H14" s="57">
        <f>SUM(G4:G14)</f>
        <v/>
      </c>
      <c r="I14" s="58">
        <f>H14/SUM(G4:G19)</f>
        <v/>
      </c>
      <c r="J14" s="65" t="inlineStr">
        <is>
          <t>C</t>
        </is>
      </c>
      <c r="K14" s="66" t="inlineStr">
        <is>
          <t>Low — monthly</t>
        </is>
      </c>
    </row>
    <row r="15" ht="19.5" customHeight="1">
      <c r="A15" s="49" t="n">
        <v>12</v>
      </c>
      <c r="B15" s="50" t="inlineStr">
        <is>
          <t>Naan</t>
        </is>
      </c>
      <c r="C15" s="50" t="inlineStr">
        <is>
          <t>Bread</t>
        </is>
      </c>
      <c r="D15" s="49" t="n">
        <v>20</v>
      </c>
      <c r="E15" s="49" t="n">
        <v>63</v>
      </c>
      <c r="F15" s="49">
        <f>ROUND(E15*313,0)</f>
        <v/>
      </c>
      <c r="G15" s="61">
        <f>D15*F15</f>
        <v/>
      </c>
      <c r="H15" s="61">
        <f>SUM(G4:G15)</f>
        <v/>
      </c>
      <c r="I15" s="62">
        <f>H15/SUM(G4:G19)</f>
        <v/>
      </c>
      <c r="J15" s="65" t="inlineStr">
        <is>
          <t>C</t>
        </is>
      </c>
      <c r="K15" s="66" t="inlineStr">
        <is>
          <t>Low — monthly</t>
        </is>
      </c>
    </row>
    <row r="16" ht="19.5" customHeight="1">
      <c r="A16" s="52" t="n">
        <v>13</v>
      </c>
      <c r="B16" s="53" t="inlineStr">
        <is>
          <t>Egg Omelette</t>
        </is>
      </c>
      <c r="C16" s="53" t="inlineStr">
        <is>
          <t>Side</t>
        </is>
      </c>
      <c r="D16" s="52" t="n">
        <v>50</v>
      </c>
      <c r="E16" s="52" t="n">
        <v>23.3</v>
      </c>
      <c r="F16" s="52">
        <f>ROUND(E16*313,0)</f>
        <v/>
      </c>
      <c r="G16" s="57">
        <f>D16*F16</f>
        <v/>
      </c>
      <c r="H16" s="57">
        <f>SUM(G4:G16)</f>
        <v/>
      </c>
      <c r="I16" s="58">
        <f>H16/SUM(G4:G19)</f>
        <v/>
      </c>
      <c r="J16" s="65" t="inlineStr">
        <is>
          <t>C</t>
        </is>
      </c>
      <c r="K16" s="66" t="inlineStr">
        <is>
          <t>Low — monthly</t>
        </is>
      </c>
    </row>
    <row r="17" ht="19.5" customHeight="1">
      <c r="A17" s="49" t="n">
        <v>14</v>
      </c>
      <c r="B17" s="50" t="inlineStr">
        <is>
          <t>Slice Juice</t>
        </is>
      </c>
      <c r="C17" s="50" t="inlineStr">
        <is>
          <t>Beverage</t>
        </is>
      </c>
      <c r="D17" s="49" t="n">
        <v>50</v>
      </c>
      <c r="E17" s="49" t="n">
        <v>20</v>
      </c>
      <c r="F17" s="49">
        <f>ROUND(E17*313,0)</f>
        <v/>
      </c>
      <c r="G17" s="61">
        <f>D17*F17</f>
        <v/>
      </c>
      <c r="H17" s="61">
        <f>SUM(G4:G17)</f>
        <v/>
      </c>
      <c r="I17" s="62">
        <f>H17/SUM(G4:G19)</f>
        <v/>
      </c>
      <c r="J17" s="65" t="inlineStr">
        <is>
          <t>C</t>
        </is>
      </c>
      <c r="K17" s="66" t="inlineStr">
        <is>
          <t>Low — monthly</t>
        </is>
      </c>
    </row>
    <row r="18" ht="19.5" customHeight="1">
      <c r="A18" s="52" t="n">
        <v>15</v>
      </c>
      <c r="B18" s="53" t="inlineStr">
        <is>
          <t>Salad Plate</t>
        </is>
      </c>
      <c r="C18" s="53" t="inlineStr">
        <is>
          <t>Condiment</t>
        </is>
      </c>
      <c r="D18" s="52" t="n">
        <v>80</v>
      </c>
      <c r="E18" s="52" t="n">
        <v>12</v>
      </c>
      <c r="F18" s="52">
        <f>ROUND(E18*313,0)</f>
        <v/>
      </c>
      <c r="G18" s="57">
        <f>D18*F18</f>
        <v/>
      </c>
      <c r="H18" s="57">
        <f>SUM(G4:G18)</f>
        <v/>
      </c>
      <c r="I18" s="58">
        <f>H18/SUM(G4:G19)</f>
        <v/>
      </c>
      <c r="J18" s="65" t="inlineStr">
        <is>
          <t>C</t>
        </is>
      </c>
      <c r="K18" s="66" t="inlineStr">
        <is>
          <t>Low — monthly</t>
        </is>
      </c>
    </row>
    <row r="19" ht="19.5" customHeight="1">
      <c r="A19" s="49" t="n">
        <v>16</v>
      </c>
      <c r="B19" s="50" t="inlineStr">
        <is>
          <t>Chicken Nuggets</t>
        </is>
      </c>
      <c r="C19" s="50" t="inlineStr">
        <is>
          <t>Snack</t>
        </is>
      </c>
      <c r="D19" s="49" t="n">
        <v>20</v>
      </c>
      <c r="E19" s="49" t="n">
        <v>26.7</v>
      </c>
      <c r="F19" s="49">
        <f>ROUND(E19*313,0)</f>
        <v/>
      </c>
      <c r="G19" s="61">
        <f>D19*F19</f>
        <v/>
      </c>
      <c r="H19" s="61">
        <f>SUM(G4:G19)</f>
        <v/>
      </c>
      <c r="I19" s="62">
        <f>H19/SUM(G4:G19)</f>
        <v/>
      </c>
      <c r="J19" s="65" t="inlineStr">
        <is>
          <t>C</t>
        </is>
      </c>
      <c r="K19" s="66" t="inlineStr">
        <is>
          <t>Low — monthly</t>
        </is>
      </c>
    </row>
    <row r="20"/>
    <row r="21" ht="19.5" customHeight="1">
      <c r="A21" s="12" t="inlineStr">
        <is>
          <t>LEGEND</t>
        </is>
      </c>
      <c r="B21" s="121" t="n"/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2" t="n"/>
    </row>
    <row r="22" ht="21.75" customHeight="1">
      <c r="A22" s="67" t="inlineStr">
        <is>
          <t>Class A</t>
        </is>
      </c>
      <c r="B22" s="94" t="inlineStr">
        <is>
          <t>Top 70% annual value — weekly orders, strict control</t>
        </is>
      </c>
      <c r="C22" s="121" t="n"/>
      <c r="D22" s="121" t="n"/>
      <c r="E22" s="121" t="n"/>
      <c r="F22" s="121" t="n"/>
      <c r="G22" s="121" t="n"/>
      <c r="H22" s="121" t="n"/>
      <c r="I22" s="121" t="n"/>
      <c r="J22" s="121" t="n"/>
      <c r="K22" s="122" t="n"/>
    </row>
    <row r="23" ht="21.75" customHeight="1">
      <c r="A23" s="68" t="inlineStr">
        <is>
          <t>Class B</t>
        </is>
      </c>
      <c r="B23" s="95" t="inlineStr">
        <is>
          <t>Next 20% — bi-weekly review, moderate control</t>
        </is>
      </c>
      <c r="C23" s="121" t="n"/>
      <c r="D23" s="121" t="n"/>
      <c r="E23" s="121" t="n"/>
      <c r="F23" s="121" t="n"/>
      <c r="G23" s="121" t="n"/>
      <c r="H23" s="121" t="n"/>
      <c r="I23" s="121" t="n"/>
      <c r="J23" s="121" t="n"/>
      <c r="K23" s="122" t="n"/>
    </row>
    <row r="24" ht="21.75" customHeight="1">
      <c r="A24" s="69" t="inlineStr">
        <is>
          <t>Class C</t>
        </is>
      </c>
      <c r="B24" s="96" t="inlineStr">
        <is>
          <t>Bottom 10% — monthly or on-demand, minimal control</t>
        </is>
      </c>
      <c r="C24" s="121" t="n"/>
      <c r="D24" s="121" t="n"/>
      <c r="E24" s="121" t="n"/>
      <c r="F24" s="121" t="n"/>
      <c r="G24" s="121" t="n"/>
      <c r="H24" s="121" t="n"/>
      <c r="I24" s="121" t="n"/>
      <c r="J24" s="121" t="n"/>
      <c r="K24" s="122" t="n"/>
    </row>
  </sheetData>
  <mergeCells count="6">
    <mergeCell ref="B23:K23"/>
    <mergeCell ref="B22:K22"/>
    <mergeCell ref="A21:K21"/>
    <mergeCell ref="A2:K2"/>
    <mergeCell ref="B24:K24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zoomScaleNormal="100" workbookViewId="0">
      <selection activeCell="L17" sqref="L17"/>
    </sheetView>
  </sheetViews>
  <sheetFormatPr baseColWidth="8" defaultColWidth="8.6640625" defaultRowHeight="14.4"/>
  <cols>
    <col width="4" customWidth="1" min="1" max="1"/>
    <col width="20" customWidth="1" min="2" max="2"/>
    <col width="13" customWidth="1" min="3" max="3"/>
    <col width="11" customWidth="1" min="4" max="4"/>
    <col width="12" customWidth="1" min="5" max="6"/>
    <col width="10" customWidth="1" min="7" max="7"/>
    <col width="9" customWidth="1" min="8" max="8"/>
    <col width="11" customWidth="1" min="9" max="9"/>
    <col width="9" customWidth="1" min="10" max="10"/>
    <col width="11" customWidth="1" min="11" max="11"/>
    <col width="10" customWidth="1" min="12" max="12"/>
  </cols>
  <sheetData>
    <row r="1" ht="25.5" customHeight="1">
      <c r="A1" s="3" t="inlineStr">
        <is>
          <t>SHEET 6 — EOQ &amp; REORDER POINT  |  Class A Items  |  GIKAFE</t>
        </is>
      </c>
    </row>
    <row r="2" ht="15.75" customHeight="1">
      <c r="A2" s="2" t="inlineStr">
        <is>
          <t>EOQ = √(2DS/H)    ROP = (d̄ × L) + SS    D=annual demand  S=order cost  H=holding cost  d̄=daily demand  L=lead time  SS=safety stock</t>
        </is>
      </c>
    </row>
    <row r="3" ht="43.5" customHeight="1">
      <c r="A3" s="24" t="inlineStr">
        <is>
          <t>#</t>
        </is>
      </c>
      <c r="B3" s="24" t="inlineStr">
        <is>
          <t>Item</t>
        </is>
      </c>
      <c r="C3" s="24" t="inlineStr">
        <is>
          <t>Ann. Demand
D (units)</t>
        </is>
      </c>
      <c r="D3" s="24" t="inlineStr">
        <is>
          <t>Price
(PKR)</t>
        </is>
      </c>
      <c r="E3" s="24" t="inlineStr">
        <is>
          <t>Order Cost
S (PKR)</t>
        </is>
      </c>
      <c r="F3" s="24" t="inlineStr">
        <is>
          <t>Hold Cost
H (PKR/yr)</t>
        </is>
      </c>
      <c r="G3" s="24" t="inlineStr">
        <is>
          <t>EOQ
(units)</t>
        </is>
      </c>
      <c r="H3" s="24" t="inlineStr">
        <is>
          <t>Orders/
Year</t>
        </is>
      </c>
      <c r="I3" s="24" t="inlineStr">
        <is>
          <t>Daily
Demand d̄</t>
        </is>
      </c>
      <c r="J3" s="24" t="inlineStr">
        <is>
          <t>Lead
Time L</t>
        </is>
      </c>
      <c r="K3" s="24" t="inlineStr">
        <is>
          <t>Safety
Stock SS</t>
        </is>
      </c>
      <c r="L3" s="24" t="inlineStr">
        <is>
          <t>ROP
(units)</t>
        </is>
      </c>
    </row>
    <row r="4" ht="21.75" customHeight="1">
      <c r="A4" s="52" t="n">
        <v>1</v>
      </c>
      <c r="B4" s="53" t="inlineStr">
        <is>
          <t>Chicken Biryani</t>
        </is>
      </c>
      <c r="C4" s="52" t="n">
        <v>13876</v>
      </c>
      <c r="D4" s="52" t="n">
        <v>200</v>
      </c>
      <c r="E4" s="52" t="n">
        <v>250</v>
      </c>
      <c r="F4" s="52" t="n">
        <v>30</v>
      </c>
      <c r="G4" s="56">
        <f>ROUND(SQRT(2*C4*E4/F4),0)</f>
        <v/>
      </c>
      <c r="H4" s="52">
        <f>ROUND(C4/G4,1)</f>
        <v/>
      </c>
      <c r="I4" s="52">
        <f>ROUND(C4/313,1)</f>
        <v/>
      </c>
      <c r="J4" s="52" t="n">
        <v>1</v>
      </c>
      <c r="K4" s="52">
        <f>ROUND(I4*0.5,0)</f>
        <v/>
      </c>
      <c r="L4" s="59">
        <f>ROUND(I4*J4+K4,0)</f>
        <v/>
      </c>
    </row>
    <row r="5" ht="21.75" customHeight="1">
      <c r="A5" s="49" t="n">
        <v>2</v>
      </c>
      <c r="B5" s="50" t="inlineStr">
        <is>
          <t>Chicken Karhai + Rice</t>
        </is>
      </c>
      <c r="C5" s="49" t="n">
        <v>9286</v>
      </c>
      <c r="D5" s="49" t="n">
        <v>250</v>
      </c>
      <c r="E5" s="49" t="n">
        <v>150</v>
      </c>
      <c r="F5" s="49" t="n">
        <v>37.5</v>
      </c>
      <c r="G5" s="56">
        <f>ROUND(SQRT(2*C5*E5/F5),0)</f>
        <v/>
      </c>
      <c r="H5" s="49">
        <f>ROUND(C5/G5,1)</f>
        <v/>
      </c>
      <c r="I5" s="49">
        <f>ROUND(C5/313,1)</f>
        <v/>
      </c>
      <c r="J5" s="49" t="n">
        <v>1</v>
      </c>
      <c r="K5" s="49">
        <f>ROUND(I5*0.5,0)</f>
        <v/>
      </c>
      <c r="L5" s="59">
        <f>ROUND(I5*J5+K5,0)</f>
        <v/>
      </c>
    </row>
    <row r="6" ht="21.75" customHeight="1">
      <c r="A6" s="52" t="n">
        <v>3</v>
      </c>
      <c r="B6" s="53" t="inlineStr">
        <is>
          <t>Daal Chawal</t>
        </is>
      </c>
      <c r="C6" s="52" t="n">
        <v>13876</v>
      </c>
      <c r="D6" s="52" t="n">
        <v>150</v>
      </c>
      <c r="E6" s="52" t="n">
        <v>150</v>
      </c>
      <c r="F6" s="52" t="n">
        <v>22.5</v>
      </c>
      <c r="G6" s="56">
        <f>ROUND(SQRT(2*C6*E6/F6),0)</f>
        <v/>
      </c>
      <c r="H6" s="52">
        <f>ROUND(C6/G6,1)</f>
        <v/>
      </c>
      <c r="I6" s="52">
        <f>ROUND(C6/313,1)</f>
        <v/>
      </c>
      <c r="J6" s="52" t="n">
        <v>1</v>
      </c>
      <c r="K6" s="52">
        <f>ROUND(I6*0.5,0)</f>
        <v/>
      </c>
      <c r="L6" s="59">
        <f>ROUND(I6*J6+K6,0)</f>
        <v/>
      </c>
    </row>
    <row r="7" ht="21.75" customHeight="1">
      <c r="A7" s="49" t="n">
        <v>4</v>
      </c>
      <c r="B7" s="50" t="inlineStr">
        <is>
          <t>Chicken Tikka</t>
        </is>
      </c>
      <c r="C7" s="49" t="n">
        <v>7616</v>
      </c>
      <c r="D7" s="49" t="n">
        <v>220</v>
      </c>
      <c r="E7" s="49" t="n">
        <v>220</v>
      </c>
      <c r="F7" s="49" t="n">
        <v>33</v>
      </c>
      <c r="G7" s="56">
        <f>ROUND(SQRT(2*C7*E7/F7),0)</f>
        <v/>
      </c>
      <c r="H7" s="49">
        <f>ROUND(C7/G7,1)</f>
        <v/>
      </c>
      <c r="I7" s="49">
        <f>ROUND(C7/313,1)</f>
        <v/>
      </c>
      <c r="J7" s="49" t="n">
        <v>1</v>
      </c>
      <c r="K7" s="49">
        <f>ROUND(I7*0.5,0)</f>
        <v/>
      </c>
      <c r="L7" s="59">
        <f>ROUND(I7*J7+K7,0)</f>
        <v/>
      </c>
    </row>
    <row r="8" ht="21.75" customHeight="1">
      <c r="A8" s="52" t="n">
        <v>5</v>
      </c>
      <c r="B8" s="53" t="inlineStr">
        <is>
          <t>Chicken Burger</t>
        </is>
      </c>
      <c r="C8" s="52" t="n">
        <v>5321</v>
      </c>
      <c r="D8" s="52" t="n">
        <v>250</v>
      </c>
      <c r="E8" s="52" t="n">
        <v>150</v>
      </c>
      <c r="F8" s="52" t="n">
        <v>37.5</v>
      </c>
      <c r="G8" s="56">
        <f>ROUND(SQRT(2*C8*E8/F8),0)</f>
        <v/>
      </c>
      <c r="H8" s="52">
        <f>ROUND(C8/G8,1)</f>
        <v/>
      </c>
      <c r="I8" s="52">
        <f>ROUND(C8/313,1)</f>
        <v/>
      </c>
      <c r="J8" s="52" t="n">
        <v>1</v>
      </c>
      <c r="K8" s="52">
        <f>ROUND(I8*0.5,0)</f>
        <v/>
      </c>
      <c r="L8" s="59">
        <f>ROUND(I8*J8+K8,0)</f>
        <v/>
      </c>
    </row>
    <row r="9" ht="21.75" customHeight="1">
      <c r="A9" s="49" t="n">
        <v>6</v>
      </c>
      <c r="B9" s="50" t="inlineStr">
        <is>
          <t>Tea / Chai</t>
        </is>
      </c>
      <c r="C9" s="49" t="n">
        <v>15859</v>
      </c>
      <c r="D9" s="49" t="n">
        <v>60</v>
      </c>
      <c r="E9" s="49" t="n">
        <v>80</v>
      </c>
      <c r="F9" s="49" t="n">
        <v>9</v>
      </c>
      <c r="G9" s="56">
        <f>ROUND(SQRT(2*C9*E9/F9),0)</f>
        <v/>
      </c>
      <c r="H9" s="49">
        <f>ROUND(C9/G9,1)</f>
        <v/>
      </c>
      <c r="I9" s="49">
        <f>ROUND(C9/313,1)</f>
        <v/>
      </c>
      <c r="J9" s="49" t="n">
        <v>1</v>
      </c>
      <c r="K9" s="49">
        <f>ROUND(I9*0.5,0)</f>
        <v/>
      </c>
      <c r="L9" s="59">
        <f>ROUND(I9*J9+K9,0)</f>
        <v/>
      </c>
    </row>
    <row r="10" ht="21.75" customHeight="1">
      <c r="A10" s="52" t="n">
        <v>7</v>
      </c>
      <c r="B10" s="53" t="inlineStr">
        <is>
          <t>Vegetable Pulao</t>
        </is>
      </c>
      <c r="C10" s="52" t="n">
        <v>6051</v>
      </c>
      <c r="D10" s="52" t="n">
        <v>150</v>
      </c>
      <c r="E10" s="52" t="n">
        <v>150</v>
      </c>
      <c r="F10" s="52" t="n">
        <v>22.5</v>
      </c>
      <c r="G10" s="56">
        <f>ROUND(SQRT(2*C10*E10/F10),0)</f>
        <v/>
      </c>
      <c r="H10" s="52">
        <f>ROUND(C10/G10,1)</f>
        <v/>
      </c>
      <c r="I10" s="52">
        <f>ROUND(C10/313,1)</f>
        <v/>
      </c>
      <c r="J10" s="52" t="n">
        <v>1</v>
      </c>
      <c r="K10" s="52">
        <f>ROUND(I10*0.5,0)</f>
        <v/>
      </c>
      <c r="L10" s="59">
        <f>ROUND(I10*J10+K10,0)</f>
        <v/>
      </c>
    </row>
    <row r="11"/>
    <row r="12" ht="19.5" customHeight="1">
      <c r="A12" s="12" t="inlineStr">
        <is>
          <t>PARAMETERS</t>
        </is>
      </c>
      <c r="B12" s="121" t="n"/>
      <c r="C12" s="121" t="n"/>
      <c r="D12" s="121" t="n"/>
      <c r="E12" s="121" t="n"/>
      <c r="F12" s="121" t="n"/>
      <c r="G12" s="121" t="n"/>
      <c r="H12" s="121" t="n"/>
      <c r="I12" s="121" t="n"/>
      <c r="J12" s="121" t="n"/>
      <c r="K12" s="121" t="n"/>
      <c r="L12" s="122" t="n"/>
    </row>
    <row r="13" ht="24" customHeight="1">
      <c r="A13" s="97" t="inlineStr">
        <is>
          <t>Working days</t>
        </is>
      </c>
      <c r="B13" s="121" t="n"/>
      <c r="C13" s="122" t="n"/>
      <c r="D13" s="98" t="inlineStr">
        <is>
          <t>313 / year — GIKAFE open 7 days/week; closed on national holidays + institute holidays</t>
        </is>
      </c>
      <c r="E13" s="121" t="n"/>
      <c r="F13" s="121" t="n"/>
      <c r="G13" s="121" t="n"/>
      <c r="H13" s="121" t="n"/>
      <c r="I13" s="121" t="n"/>
      <c r="J13" s="121" t="n"/>
      <c r="K13" s="121" t="n"/>
      <c r="L13" s="122" t="n"/>
    </row>
    <row r="14" ht="24" customHeight="1">
      <c r="A14" s="97" t="inlineStr">
        <is>
          <t>Lead time L</t>
        </is>
      </c>
      <c r="B14" s="121" t="n"/>
      <c r="C14" s="122" t="n"/>
      <c r="D14" s="98" t="inlineStr">
        <is>
          <t>1 day — local Topi/Swabi supplier delivers next morning; Sunday = working</t>
        </is>
      </c>
      <c r="E14" s="121" t="n"/>
      <c r="F14" s="121" t="n"/>
      <c r="G14" s="121" t="n"/>
      <c r="H14" s="121" t="n"/>
      <c r="I14" s="121" t="n"/>
      <c r="J14" s="121" t="n"/>
      <c r="K14" s="121" t="n"/>
      <c r="L14" s="122" t="n"/>
    </row>
    <row r="15" ht="24" customHeight="1">
      <c r="A15" s="97" t="inlineStr">
        <is>
          <t>Holding cost H</t>
        </is>
      </c>
      <c r="B15" s="121" t="n"/>
      <c r="C15" s="122" t="n"/>
      <c r="D15" s="98" t="inlineStr">
        <is>
          <t>15% of unit price / year  (refrigeration + spoilage + storage)</t>
        </is>
      </c>
      <c r="E15" s="121" t="n"/>
      <c r="F15" s="121" t="n"/>
      <c r="G15" s="121" t="n"/>
      <c r="H15" s="121" t="n"/>
      <c r="I15" s="121" t="n"/>
      <c r="J15" s="121" t="n"/>
      <c r="K15" s="121" t="n"/>
      <c r="L15" s="122" t="n"/>
    </row>
    <row r="16" ht="24" customHeight="1">
      <c r="A16" s="97" t="inlineStr">
        <is>
          <t>Safety stock SS</t>
        </is>
      </c>
      <c r="B16" s="121" t="n"/>
      <c r="C16" s="122" t="n"/>
      <c r="D16" s="98" t="inlineStr">
        <is>
          <t>0.5 × d̄  (half-day buffer against demand uncertainty)</t>
        </is>
      </c>
      <c r="E16" s="121" t="n"/>
      <c r="F16" s="121" t="n"/>
      <c r="G16" s="121" t="n"/>
      <c r="H16" s="121" t="n"/>
      <c r="I16" s="121" t="n"/>
      <c r="J16" s="121" t="n"/>
      <c r="K16" s="121" t="n"/>
      <c r="L16" s="122" t="n"/>
    </row>
  </sheetData>
  <mergeCells count="11">
    <mergeCell ref="A2:L2"/>
    <mergeCell ref="D15:L15"/>
    <mergeCell ref="A13:C13"/>
    <mergeCell ref="D13:L13"/>
    <mergeCell ref="A16:C16"/>
    <mergeCell ref="A14:C14"/>
    <mergeCell ref="D14:L14"/>
    <mergeCell ref="A1:L1"/>
    <mergeCell ref="A15:C15"/>
    <mergeCell ref="A12:L12"/>
    <mergeCell ref="D16:L16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topLeftCell="A35" zoomScaleNormal="100" workbookViewId="0">
      <selection activeCell="F45" sqref="F45"/>
    </sheetView>
  </sheetViews>
  <sheetFormatPr baseColWidth="8" defaultColWidth="8.6640625" defaultRowHeight="14.4"/>
  <cols>
    <col width="18" customWidth="1" min="1" max="1"/>
    <col width="88" customWidth="1" min="2" max="2"/>
  </cols>
  <sheetData>
    <row r="1" ht="25.5" customHeight="1">
      <c r="A1" s="3" t="inlineStr">
        <is>
          <t>SHEET 7 — FORMULA DERIVATIONS &amp; WORKED EXAMPLES</t>
        </is>
      </c>
    </row>
    <row r="2"/>
    <row r="3" ht="7.5" customHeight="1"/>
    <row r="4" ht="21.75" customHeight="1">
      <c r="A4" s="99" t="inlineStr">
        <is>
          <t>1. Simple Moving Average  (SMA, n=3)</t>
        </is>
      </c>
      <c r="B4" s="121" t="n"/>
      <c r="C4" s="121" t="n"/>
      <c r="D4" s="121" t="n"/>
      <c r="E4" s="121" t="n"/>
      <c r="F4" s="122" t="n"/>
    </row>
    <row r="5" ht="27.75" customHeight="1">
      <c r="A5" s="71" t="inlineStr">
        <is>
          <t>Formula</t>
        </is>
      </c>
      <c r="B5" s="100" t="inlineStr">
        <is>
          <t>F(t+1) = [D(t) + D(t-1) + D(t-2)] / 3</t>
        </is>
      </c>
      <c r="C5" s="121" t="n"/>
      <c r="D5" s="121" t="n"/>
      <c r="E5" s="121" t="n"/>
      <c r="F5" s="122" t="n"/>
    </row>
    <row r="6" ht="27.75" customHeight="1">
      <c r="A6" s="71" t="inlineStr">
        <is>
          <t>Variables</t>
        </is>
      </c>
      <c r="B6" s="100" t="inlineStr">
        <is>
          <t>F = forecast    D = actual demand    t = time period</t>
        </is>
      </c>
      <c r="C6" s="121" t="n"/>
      <c r="D6" s="121" t="n"/>
      <c r="E6" s="121" t="n"/>
      <c r="F6" s="122" t="n"/>
    </row>
    <row r="7" ht="27.75" customHeight="1">
      <c r="A7" s="71" t="inlineStr">
        <is>
          <t>Example</t>
        </is>
      </c>
      <c r="B7" s="100" t="inlineStr">
        <is>
          <t>Naan: SMA = (D8 + D9 + D10) / 3</t>
        </is>
      </c>
      <c r="C7" s="121" t="n"/>
      <c r="D7" s="121" t="n"/>
      <c r="E7" s="121" t="n"/>
      <c r="F7" s="122" t="n"/>
    </row>
    <row r="8" ht="27.75" customHeight="1">
      <c r="A8" s="71" t="inlineStr">
        <is>
          <t>Limitation</t>
        </is>
      </c>
      <c r="B8" s="100" t="inlineStr">
        <is>
          <t>Equal weight — slow to react to recent demand shifts</t>
        </is>
      </c>
      <c r="C8" s="121" t="n"/>
      <c r="D8" s="121" t="n"/>
      <c r="E8" s="121" t="n"/>
      <c r="F8" s="122" t="n"/>
    </row>
    <row r="9" ht="7.5" customHeight="1"/>
    <row r="10" ht="21.75" customHeight="1">
      <c r="A10" s="99" t="inlineStr">
        <is>
          <t>2. Weighted Moving Average  (WMA)</t>
        </is>
      </c>
      <c r="B10" s="121" t="n"/>
      <c r="C10" s="121" t="n"/>
      <c r="D10" s="121" t="n"/>
      <c r="E10" s="121" t="n"/>
      <c r="F10" s="122" t="n"/>
    </row>
    <row r="11" ht="27.75" customHeight="1">
      <c r="A11" s="71" t="inlineStr">
        <is>
          <t>Formula</t>
        </is>
      </c>
      <c r="B11" s="100" t="inlineStr">
        <is>
          <t>F(t+1) = 0.50·D(t) + 0.30·D(t-1) + 0.20·D(t-2)</t>
        </is>
      </c>
      <c r="C11" s="121" t="n"/>
      <c r="D11" s="121" t="n"/>
      <c r="E11" s="121" t="n"/>
      <c r="F11" s="122" t="n"/>
    </row>
    <row r="12" ht="27.75" customHeight="1">
      <c r="A12" s="71" t="inlineStr">
        <is>
          <t>Weights</t>
        </is>
      </c>
      <c r="B12" s="100" t="inlineStr">
        <is>
          <t>Most recent period (0.5) weighted highest — reacts faster than SMA</t>
        </is>
      </c>
      <c r="C12" s="121" t="n"/>
      <c r="D12" s="121" t="n"/>
      <c r="E12" s="121" t="n"/>
      <c r="F12" s="122" t="n"/>
    </row>
    <row r="13" ht="27.75" customHeight="1">
      <c r="A13" s="71" t="inlineStr">
        <is>
          <t>Example</t>
        </is>
      </c>
      <c r="B13" s="100" t="inlineStr">
        <is>
          <t>Naan: WMA = 0.50×D10 + 0.30×D9 + 0.20×D8</t>
        </is>
      </c>
      <c r="C13" s="121" t="n"/>
      <c r="D13" s="121" t="n"/>
      <c r="E13" s="121" t="n"/>
      <c r="F13" s="122" t="n"/>
    </row>
    <row r="14" ht="27.75" customHeight="1">
      <c r="A14" s="71" t="inlineStr">
        <is>
          <t>Recommended</t>
        </is>
      </c>
      <c r="B14" s="100" t="inlineStr">
        <is>
          <t>Lowest avg MAPE in this study — used for GIKAFE ordering decisions</t>
        </is>
      </c>
      <c r="C14" s="121" t="n"/>
      <c r="D14" s="121" t="n"/>
      <c r="E14" s="121" t="n"/>
      <c r="F14" s="122" t="n"/>
    </row>
    <row r="15" ht="7.5" customHeight="1"/>
    <row r="16" ht="21.75" customHeight="1">
      <c r="A16" s="99" t="inlineStr">
        <is>
          <t>3. Exponential Smoothing  (ES, α=0.3)</t>
        </is>
      </c>
      <c r="B16" s="121" t="n"/>
      <c r="C16" s="121" t="n"/>
      <c r="D16" s="121" t="n"/>
      <c r="E16" s="121" t="n"/>
      <c r="F16" s="122" t="n"/>
    </row>
    <row r="17" ht="27.75" customHeight="1">
      <c r="A17" s="71" t="inlineStr">
        <is>
          <t>Formula</t>
        </is>
      </c>
      <c r="B17" s="100" t="inlineStr">
        <is>
          <t>F(t+1) = 0.3·D(t) + 0.7·F(t)          α = 0.3,  (1−α) = 0.7</t>
        </is>
      </c>
      <c r="C17" s="121" t="n"/>
      <c r="D17" s="121" t="n"/>
      <c r="E17" s="121" t="n"/>
      <c r="F17" s="122" t="n"/>
    </row>
    <row r="18" ht="27.75" customHeight="1">
      <c r="A18" s="71" t="inlineStr">
        <is>
          <t>Init</t>
        </is>
      </c>
      <c r="B18" s="100" t="inlineStr">
        <is>
          <t>F(1) = D(1)  — first forecast equals first actual value</t>
        </is>
      </c>
      <c r="C18" s="121" t="n"/>
      <c r="D18" s="121" t="n"/>
      <c r="E18" s="121" t="n"/>
      <c r="F18" s="122" t="n"/>
    </row>
    <row r="19" ht="27.75" customHeight="1">
      <c r="A19" s="71" t="inlineStr">
        <is>
          <t>Expansion</t>
        </is>
      </c>
      <c r="B19" s="100" t="inlineStr">
        <is>
          <t>F(t+1) = alpha·D(t) + alpha(1-alpha)·D(t-1) + alpha(1-alpha)^2·D(t-2) + ...  (geometrically decaying weights)</t>
        </is>
      </c>
      <c r="C19" s="121" t="n"/>
      <c r="D19" s="121" t="n"/>
      <c r="E19" s="121" t="n"/>
      <c r="F19" s="122" t="n"/>
    </row>
    <row r="20" ht="27.75" customHeight="1">
      <c r="A20" s="71" t="inlineStr">
        <is>
          <t>MAD</t>
        </is>
      </c>
      <c r="B20" s="100" t="inlineStr">
        <is>
          <t>Mean Absolute Deviation = Σ|Actual − Forecast| / n</t>
        </is>
      </c>
      <c r="C20" s="121" t="n"/>
      <c r="D20" s="121" t="n"/>
      <c r="E20" s="121" t="n"/>
      <c r="F20" s="122" t="n"/>
    </row>
    <row r="21" ht="27.75" customHeight="1">
      <c r="A21" s="71" t="inlineStr">
        <is>
          <t>MAPE</t>
        </is>
      </c>
      <c r="B21" s="100" t="inlineStr">
        <is>
          <t>Mean Absolute % Error = (1/n) × Σ(|Actual − Forecast| / Actual) × 100%</t>
        </is>
      </c>
      <c r="C21" s="121" t="n"/>
      <c r="D21" s="121" t="n"/>
      <c r="E21" s="121" t="n"/>
      <c r="F21" s="122" t="n"/>
    </row>
    <row r="22" ht="7.5" customHeight="1"/>
    <row r="23" ht="21.75" customHeight="1">
      <c r="A23" s="99" t="inlineStr">
        <is>
          <t>4. EOQ — Economic Order Quantity</t>
        </is>
      </c>
      <c r="B23" s="121" t="n"/>
      <c r="C23" s="121" t="n"/>
      <c r="D23" s="121" t="n"/>
      <c r="E23" s="121" t="n"/>
      <c r="F23" s="122" t="n"/>
    </row>
    <row r="24" ht="27.75" customHeight="1">
      <c r="A24" s="71" t="inlineStr">
        <is>
          <t>Objective</t>
        </is>
      </c>
      <c r="B24" s="100" t="inlineStr">
        <is>
          <t>Minimise TC = Ordering cost + Holding cost</t>
        </is>
      </c>
      <c r="C24" s="121" t="n"/>
      <c r="D24" s="121" t="n"/>
      <c r="E24" s="121" t="n"/>
      <c r="F24" s="122" t="n"/>
    </row>
    <row r="25" ht="27.75" customHeight="1">
      <c r="A25" s="71" t="inlineStr">
        <is>
          <t>Ordering cost</t>
        </is>
      </c>
      <c r="B25" s="100" t="inlineStr">
        <is>
          <t>(D/Q) × S   — DECREASES as Q increases (fewer orders needed)</t>
        </is>
      </c>
      <c r="C25" s="121" t="n"/>
      <c r="D25" s="121" t="n"/>
      <c r="E25" s="121" t="n"/>
      <c r="F25" s="122" t="n"/>
    </row>
    <row r="26" ht="27.75" customHeight="1">
      <c r="A26" s="71" t="inlineStr">
        <is>
          <t>Holding cost</t>
        </is>
      </c>
      <c r="B26" s="100" t="inlineStr">
        <is>
          <t>(Q/2) × H   — INCREASES as Q increases (more stock held on average)</t>
        </is>
      </c>
      <c r="C26" s="121" t="n"/>
      <c r="D26" s="121" t="n"/>
      <c r="E26" s="121" t="n"/>
      <c r="F26" s="122" t="n"/>
    </row>
    <row r="27" ht="27.75" customHeight="1">
      <c r="A27" s="71" t="inlineStr">
        <is>
          <t>Key insight</t>
        </is>
      </c>
      <c r="B27" s="100" t="inlineStr">
        <is>
          <t>As Q increases: ordering cost falls, holding cost rises. EOQ is where these two costs are EQUAL — the minimum of their combined total.</t>
        </is>
      </c>
      <c r="C27" s="121" t="n"/>
      <c r="D27" s="121" t="n"/>
      <c r="E27" s="121" t="n"/>
      <c r="F27" s="122" t="n"/>
    </row>
    <row r="28" ht="27.75" customHeight="1">
      <c r="A28" s="71" t="inlineStr">
        <is>
          <t>Derivation</t>
        </is>
      </c>
      <c r="B28" s="100" t="inlineStr">
        <is>
          <t>TC = (D/Q)·S + (Q/2)·H   →   dTC/dQ = −DS/Q² + H/2 = 0   →   Q* = √(2DS/H)</t>
        </is>
      </c>
      <c r="C28" s="121" t="n"/>
      <c r="D28" s="121" t="n"/>
      <c r="E28" s="121" t="n"/>
      <c r="F28" s="122" t="n"/>
    </row>
    <row r="29" ht="27.75" customHeight="1">
      <c r="A29" s="71" t="inlineStr">
        <is>
          <t>Example</t>
        </is>
      </c>
      <c r="B29" s="100" t="inlineStr">
        <is>
          <t>Naan: EOQ = √(2 × D × S / H)  →  see S6 for values</t>
        </is>
      </c>
      <c r="C29" s="121" t="n"/>
      <c r="D29" s="121" t="n"/>
      <c r="E29" s="121" t="n"/>
      <c r="F29" s="122" t="n"/>
    </row>
    <row r="30" ht="7.5" customHeight="1"/>
    <row r="31" ht="21.75" customHeight="1">
      <c r="A31" s="99" t="inlineStr">
        <is>
          <t>5. Reorder Point  (ROP)</t>
        </is>
      </c>
      <c r="B31" s="121" t="n"/>
      <c r="C31" s="121" t="n"/>
      <c r="D31" s="121" t="n"/>
      <c r="E31" s="121" t="n"/>
      <c r="F31" s="122" t="n"/>
    </row>
    <row r="32" ht="27.75" customHeight="1">
      <c r="A32" s="71" t="inlineStr">
        <is>
          <t>Formula</t>
        </is>
      </c>
      <c r="B32" s="100" t="inlineStr">
        <is>
          <t>ROP = (d̄ × L) + SS</t>
        </is>
      </c>
      <c r="C32" s="121" t="n"/>
      <c r="D32" s="121" t="n"/>
      <c r="E32" s="121" t="n"/>
      <c r="F32" s="122" t="n"/>
    </row>
    <row r="33" ht="27.75" customHeight="1">
      <c r="A33" s="71" t="inlineStr">
        <is>
          <t>Variables</t>
        </is>
      </c>
      <c r="B33" s="100" t="inlineStr">
        <is>
          <t>d̄ = avg daily demand    L = lead time (days)    SS = safety stock</t>
        </is>
      </c>
      <c r="C33" s="121" t="n"/>
      <c r="D33" s="121" t="n"/>
      <c r="E33" s="121" t="n"/>
      <c r="F33" s="122" t="n"/>
    </row>
    <row r="34" ht="27.75" customHeight="1">
      <c r="A34" s="71" t="inlineStr">
        <is>
          <t>Safety Stock</t>
        </is>
      </c>
      <c r="B34" s="100" t="inlineStr">
        <is>
          <t>SS = 0.5 × d̄  (half-day buffer)</t>
        </is>
      </c>
      <c r="C34" s="121" t="n"/>
      <c r="D34" s="121" t="n"/>
      <c r="E34" s="121" t="n"/>
      <c r="F34" s="122" t="n"/>
    </row>
    <row r="35" ht="27.75" customHeight="1">
      <c r="A35" s="71" t="inlineStr">
        <is>
          <t>Example</t>
        </is>
      </c>
      <c r="B35" s="100" t="inlineStr">
        <is>
          <t>Naan: ROP = (d̄ × 1) + SS  →  see S6 for values</t>
        </is>
      </c>
      <c r="C35" s="121" t="n"/>
      <c r="D35" s="121" t="n"/>
      <c r="E35" s="121" t="n"/>
      <c r="F35" s="122" t="n"/>
    </row>
    <row r="36" ht="27.75" customHeight="1">
      <c r="A36" s="71" t="inlineStr">
        <is>
          <t>Meaning</t>
        </is>
      </c>
      <c r="B36" s="100" t="inlineStr">
        <is>
          <t>When stock hits ROP — place order immediately to avoid stockout</t>
        </is>
      </c>
      <c r="C36" s="121" t="n"/>
      <c r="D36" s="121" t="n"/>
      <c r="E36" s="121" t="n"/>
      <c r="F36" s="122" t="n"/>
    </row>
    <row r="37" ht="7.5" customHeight="1"/>
    <row r="38" ht="21.75" customHeight="1">
      <c r="A38" s="99" t="inlineStr">
        <is>
          <t>6. M/M/1 Queueing Model</t>
        </is>
      </c>
      <c r="B38" s="121" t="n"/>
      <c r="C38" s="121" t="n"/>
      <c r="D38" s="121" t="n"/>
      <c r="E38" s="121" t="n"/>
      <c r="F38" s="122" t="n"/>
    </row>
    <row r="39" ht="27.75" customHeight="1">
      <c r="A39" s="71" t="inlineStr">
        <is>
          <t>Assumptions</t>
        </is>
      </c>
      <c r="B39" s="100" t="inlineStr">
        <is>
          <t>Poisson arrivals (λ), Exponential service (μ), 1 server, infinite queue</t>
        </is>
      </c>
      <c r="C39" s="121" t="n"/>
      <c r="D39" s="121" t="n"/>
      <c r="E39" s="121" t="n"/>
      <c r="F39" s="122" t="n"/>
    </row>
    <row r="40" ht="27.75" customHeight="1">
      <c r="A40" s="71" t="inlineStr">
        <is>
          <t>ρ</t>
        </is>
      </c>
      <c r="B40" s="100" t="inlineStr">
        <is>
          <t>Server utilisation = λ / μ          (must be &lt; 1 for stability)</t>
        </is>
      </c>
      <c r="C40" s="121" t="n"/>
      <c r="D40" s="121" t="n"/>
      <c r="E40" s="121" t="n"/>
      <c r="F40" s="122" t="n"/>
    </row>
    <row r="41" ht="27.75" customHeight="1">
      <c r="A41" s="71" t="inlineStr">
        <is>
          <t>Lq</t>
        </is>
      </c>
      <c r="B41" s="100" t="inlineStr">
        <is>
          <t>Avg customers in queue = ρ² / (1−ρ)</t>
        </is>
      </c>
      <c r="C41" s="121" t="n"/>
      <c r="D41" s="121" t="n"/>
      <c r="E41" s="121" t="n"/>
      <c r="F41" s="122" t="n"/>
    </row>
    <row r="42" ht="27.75" customHeight="1">
      <c r="A42" s="71" t="inlineStr">
        <is>
          <t>L</t>
        </is>
      </c>
      <c r="B42" s="100" t="inlineStr">
        <is>
          <t>Avg in system = ρ / (1−ρ)</t>
        </is>
      </c>
      <c r="C42" s="121" t="n"/>
      <c r="D42" s="121" t="n"/>
      <c r="E42" s="121" t="n"/>
      <c r="F42" s="122" t="n"/>
    </row>
    <row r="43" ht="27.75" customHeight="1">
      <c r="A43" s="71" t="inlineStr">
        <is>
          <t>Wq</t>
        </is>
      </c>
      <c r="B43" s="100" t="inlineStr">
        <is>
          <t>Avg wait in queue = Lq / λ</t>
        </is>
      </c>
      <c r="C43" s="121" t="n"/>
      <c r="D43" s="121" t="n"/>
      <c r="E43" s="121" t="n"/>
      <c r="F43" s="122" t="n"/>
    </row>
    <row r="44" ht="27.75" customHeight="1">
      <c r="A44" s="71" t="inlineStr">
        <is>
          <t>W</t>
        </is>
      </c>
      <c r="B44" s="100" t="inlineStr">
        <is>
          <t>Avg time in system = L / λ  =  Wq + 1/μ</t>
        </is>
      </c>
      <c r="C44" s="121" t="n"/>
      <c r="D44" s="121" t="n"/>
      <c r="E44" s="121" t="n"/>
      <c r="F44" s="122" t="n"/>
    </row>
  </sheetData>
  <mergeCells count="37">
    <mergeCell ref="A16:F16"/>
    <mergeCell ref="B7:F7"/>
    <mergeCell ref="B25:F25"/>
    <mergeCell ref="B18:F18"/>
    <mergeCell ref="B27:F27"/>
    <mergeCell ref="B21:F21"/>
    <mergeCell ref="B43:F43"/>
    <mergeCell ref="B12:F12"/>
    <mergeCell ref="B39:F39"/>
    <mergeCell ref="B42:F42"/>
    <mergeCell ref="A23:F23"/>
    <mergeCell ref="B11:F11"/>
    <mergeCell ref="A4:F4"/>
    <mergeCell ref="B14:F14"/>
    <mergeCell ref="B8:F8"/>
    <mergeCell ref="B17:F17"/>
    <mergeCell ref="B13:F13"/>
    <mergeCell ref="B44:F44"/>
    <mergeCell ref="A38:F38"/>
    <mergeCell ref="B29:F29"/>
    <mergeCell ref="A10:F10"/>
    <mergeCell ref="B34:F34"/>
    <mergeCell ref="B28:F28"/>
    <mergeCell ref="B19:F19"/>
    <mergeCell ref="A31:F31"/>
    <mergeCell ref="B40:F40"/>
    <mergeCell ref="B6:F6"/>
    <mergeCell ref="B24:F24"/>
    <mergeCell ref="B20:F20"/>
    <mergeCell ref="B33:F33"/>
    <mergeCell ref="A1:F1"/>
    <mergeCell ref="B5:F5"/>
    <mergeCell ref="B36:F36"/>
    <mergeCell ref="B32:F32"/>
    <mergeCell ref="B26:F26"/>
    <mergeCell ref="B41:F41"/>
    <mergeCell ref="B35:F35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zoomScale="105" zoomScaleNormal="100" workbookViewId="0">
      <selection activeCell="G28" sqref="G28"/>
    </sheetView>
  </sheetViews>
  <sheetFormatPr baseColWidth="8" defaultColWidth="8.6640625" defaultRowHeight="14.4"/>
  <cols>
    <col width="22" customWidth="1" min="1" max="1"/>
    <col width="42.88671875" customWidth="1" min="2" max="2"/>
    <col width="12" customWidth="1" min="3" max="3"/>
    <col width="10" customWidth="1" min="4" max="7"/>
  </cols>
  <sheetData>
    <row r="1" ht="25.5" customHeight="1">
      <c r="A1" s="3" t="inlineStr">
        <is>
          <t>SHEET 8 — M/M/1 QUEUEING ANALYSIS  |  GIKAFE Main Counter</t>
        </is>
      </c>
    </row>
    <row r="2" ht="15.75" customHeight="1">
      <c r="A2" s="2" t="inlineStr">
        <is>
          <t>M/M/1  |  Data: S3 Observation Log  |  Window: 12:00–14:00 (120 min)</t>
        </is>
      </c>
    </row>
    <row r="3"/>
    <row r="4" ht="19.5" customHeight="1">
      <c r="A4" s="12" t="inlineStr">
        <is>
          <t>A — Input Parameters</t>
        </is>
      </c>
      <c r="B4" s="121" t="n"/>
      <c r="C4" s="121" t="n"/>
      <c r="D4" s="121" t="n"/>
      <c r="E4" s="121" t="n"/>
      <c r="F4" s="121" t="n"/>
      <c r="G4" s="122" t="n"/>
    </row>
    <row r="5" ht="15" customHeight="1">
      <c r="A5" s="19" t="inlineStr">
        <is>
          <t>Parameter</t>
        </is>
      </c>
      <c r="B5" s="19" t="inlineStr">
        <is>
          <t>Value</t>
        </is>
      </c>
      <c r="C5" s="19" t="inlineStr">
        <is>
          <t>Note</t>
        </is>
      </c>
      <c r="D5" s="121" t="n"/>
      <c r="E5" s="121" t="n"/>
      <c r="F5" s="121" t="n"/>
      <c r="G5" s="122" t="n"/>
    </row>
    <row r="6" ht="19.5" customHeight="1">
      <c r="A6" s="97" t="inlineStr">
        <is>
          <t>Observation days</t>
        </is>
      </c>
      <c r="B6" s="72" t="inlineStr">
        <is>
          <t>3  (Fri 8-May / Sat 9-May / Sun 10-May)</t>
        </is>
      </c>
      <c r="C6" s="101" t="n"/>
      <c r="D6" s="121" t="n"/>
      <c r="E6" s="121" t="n"/>
      <c r="F6" s="121" t="n"/>
      <c r="G6" s="122" t="n"/>
    </row>
    <row r="7" ht="19.5" customHeight="1">
      <c r="A7" s="97" t="inlineStr">
        <is>
          <t>Window / day</t>
        </is>
      </c>
      <c r="B7" s="73" t="inlineStr">
        <is>
          <t>120 min  (12:00–14:00)</t>
        </is>
      </c>
      <c r="C7" s="102" t="inlineStr">
        <is>
          <t>Peak lunch (2-hour window)</t>
        </is>
      </c>
      <c r="D7" s="121" t="n"/>
      <c r="E7" s="121" t="n"/>
      <c r="F7" s="121" t="n"/>
      <c r="G7" s="122" t="n"/>
    </row>
    <row r="8" ht="19.5" customHeight="1">
      <c r="A8" s="97" t="inlineStr">
        <is>
          <t>Sample size</t>
        </is>
      </c>
      <c r="B8" s="72" t="inlineStr">
        <is>
          <t>17 customers/day  →  51 total</t>
        </is>
      </c>
      <c r="C8" s="101" t="inlineStr">
        <is>
          <t>Timed by 2 students</t>
        </is>
      </c>
      <c r="D8" s="121" t="n"/>
      <c r="E8" s="121" t="n"/>
      <c r="F8" s="121" t="n"/>
      <c r="G8" s="122" t="n"/>
    </row>
    <row r="9" ht="19.5" customHeight="1">
      <c r="A9" s="97" t="inlineStr">
        <is>
          <t>Avg daily footfall</t>
        </is>
      </c>
      <c r="B9" s="73" t="inlineStr">
        <is>
          <t>487 customers/day</t>
        </is>
      </c>
      <c r="C9" s="102" t="inlineStr">
        <is>
          <t>(511+483+467)/3</t>
        </is>
      </c>
      <c r="D9" s="121" t="n"/>
      <c r="E9" s="121" t="n"/>
      <c r="F9" s="121" t="n"/>
      <c r="G9" s="122" t="n"/>
    </row>
    <row r="10" ht="19.5" customHeight="1">
      <c r="A10" s="97" t="inlineStr">
        <is>
          <t>λ (sample)</t>
        </is>
      </c>
      <c r="B10" s="72" t="inlineStr">
        <is>
          <t>17/120 = 0.142 cust/min</t>
        </is>
      </c>
      <c r="C10" s="101" t="inlineStr">
        <is>
          <t>Used in M/M/1</t>
        </is>
      </c>
      <c r="D10" s="121" t="n"/>
      <c r="E10" s="121" t="n"/>
      <c r="F10" s="121" t="n"/>
      <c r="G10" s="122" t="n"/>
    </row>
    <row r="11" ht="19.5" customHeight="1">
      <c r="A11" s="97" t="inlineStr">
        <is>
          <t>λ (full load)</t>
        </is>
      </c>
      <c r="B11" s="73" t="inlineStr">
        <is>
          <t>487/120 = 4.06 cust/min</t>
        </is>
      </c>
      <c r="C11" s="102" t="inlineStr">
        <is>
          <t>Peak actual</t>
        </is>
      </c>
      <c r="D11" s="121" t="n"/>
      <c r="E11" s="121" t="n"/>
      <c r="F11" s="121" t="n"/>
      <c r="G11" s="122" t="n"/>
    </row>
    <row r="12" ht="19.5" customHeight="1">
      <c r="A12" s="97" t="inlineStr">
        <is>
          <t>Avg service time</t>
        </is>
      </c>
      <c r="B12" s="72" t="inlineStr">
        <is>
          <t>58 sec = 0.967 min</t>
        </is>
      </c>
      <c r="C12" s="101" t="inlineStr">
        <is>
          <t>From 51 observations</t>
        </is>
      </c>
      <c r="D12" s="121" t="n"/>
      <c r="E12" s="121" t="n"/>
      <c r="F12" s="121" t="n"/>
      <c r="G12" s="122" t="n"/>
    </row>
    <row r="13" ht="19.5" customHeight="1">
      <c r="A13" s="97" t="inlineStr">
        <is>
          <t>μ</t>
        </is>
      </c>
      <c r="B13" s="73" t="inlineStr">
        <is>
          <t>60/58 = 1.034 cust/min</t>
        </is>
      </c>
      <c r="C13" s="102" t="n"/>
      <c r="D13" s="121" t="n"/>
      <c r="E13" s="121" t="n"/>
      <c r="F13" s="121" t="n"/>
      <c r="G13" s="122" t="n"/>
    </row>
    <row r="14" ht="19.5" customHeight="1">
      <c r="A14" s="97" t="inlineStr">
        <is>
          <t>Servers</t>
        </is>
      </c>
      <c r="B14" s="72" t="inlineStr">
        <is>
          <t>1 (main counter)</t>
        </is>
      </c>
      <c r="C14" s="101" t="n"/>
      <c r="D14" s="121" t="n"/>
      <c r="E14" s="121" t="n"/>
      <c r="F14" s="121" t="n"/>
      <c r="G14" s="122" t="n"/>
    </row>
    <row r="15"/>
    <row r="16" ht="19.5" customHeight="1">
      <c r="A16" s="12" t="inlineStr">
        <is>
          <t>B — M/M/1 Performance Metrics</t>
        </is>
      </c>
      <c r="B16" s="121" t="n"/>
      <c r="C16" s="121" t="n"/>
      <c r="D16" s="121" t="n"/>
      <c r="E16" s="121" t="n"/>
      <c r="F16" s="121" t="n"/>
      <c r="G16" s="122" t="n"/>
    </row>
    <row r="17" ht="15" customHeight="1">
      <c r="A17" s="19" t="inlineStr">
        <is>
          <t>Metric</t>
        </is>
      </c>
      <c r="B17" s="19" t="inlineStr">
        <is>
          <t>Result</t>
        </is>
      </c>
      <c r="C17" s="19" t="inlineStr">
        <is>
          <t>Interpretation</t>
        </is>
      </c>
      <c r="D17" s="121" t="n"/>
      <c r="E17" s="121" t="n"/>
      <c r="F17" s="121" t="n"/>
      <c r="G17" s="122" t="n"/>
    </row>
    <row r="18" ht="21.75" customHeight="1">
      <c r="A18" s="74" t="inlineStr">
        <is>
          <t>ρ = λ/μ</t>
        </is>
      </c>
      <c r="B18" s="75" t="inlineStr">
        <is>
          <t>0.137  (13.7% busy)</t>
        </is>
      </c>
      <c r="C18" s="103" t="inlineStr">
        <is>
          <t>Stable at sample rate</t>
        </is>
      </c>
      <c r="D18" s="121" t="n"/>
      <c r="E18" s="121" t="n"/>
      <c r="F18" s="121" t="n"/>
      <c r="G18" s="122" t="n"/>
    </row>
    <row r="19" ht="21.75" customHeight="1">
      <c r="A19" s="74" t="inlineStr">
        <is>
          <t>Lq = ρ²/(1−ρ)</t>
        </is>
      </c>
      <c r="B19" s="76" t="inlineStr">
        <is>
          <t>0.022 customers</t>
        </is>
      </c>
      <c r="C19" s="104" t="inlineStr">
        <is>
          <t>Avg queue at sample rate</t>
        </is>
      </c>
      <c r="D19" s="121" t="n"/>
      <c r="E19" s="121" t="n"/>
      <c r="F19" s="121" t="n"/>
      <c r="G19" s="122" t="n"/>
    </row>
    <row r="20" ht="21.75" customHeight="1">
      <c r="A20" s="74" t="inlineStr">
        <is>
          <t>L = ρ/(1−ρ)</t>
        </is>
      </c>
      <c r="B20" s="75" t="inlineStr">
        <is>
          <t>0.159 customers</t>
        </is>
      </c>
      <c r="C20" s="103" t="inlineStr">
        <is>
          <t>In queue + being served</t>
        </is>
      </c>
      <c r="D20" s="121" t="n"/>
      <c r="E20" s="121" t="n"/>
      <c r="F20" s="121" t="n"/>
      <c r="G20" s="122" t="n"/>
    </row>
    <row r="21" ht="21.75" customHeight="1">
      <c r="A21" s="74" t="inlineStr">
        <is>
          <t>Wq = Lq/λ</t>
        </is>
      </c>
      <c r="B21" s="76" t="inlineStr">
        <is>
          <t>9 sec</t>
        </is>
      </c>
      <c r="C21" s="104" t="inlineStr">
        <is>
          <t>Avg wait before service</t>
        </is>
      </c>
      <c r="D21" s="121" t="n"/>
      <c r="E21" s="121" t="n"/>
      <c r="F21" s="121" t="n"/>
      <c r="G21" s="122" t="n"/>
    </row>
    <row r="22" ht="21.75" customHeight="1">
      <c r="A22" s="74" t="inlineStr">
        <is>
          <t>W = L/λ</t>
        </is>
      </c>
      <c r="B22" s="75" t="inlineStr">
        <is>
          <t>67 sec</t>
        </is>
      </c>
      <c r="C22" s="103" t="inlineStr">
        <is>
          <t>Total time: join → leave</t>
        </is>
      </c>
      <c r="D22" s="121" t="n"/>
      <c r="E22" s="121" t="n"/>
      <c r="F22" s="121" t="n"/>
      <c r="G22" s="122" t="n"/>
    </row>
    <row r="23" ht="21.75" customHeight="1">
      <c r="A23" s="74" t="inlineStr">
        <is>
          <t>ρ at full load</t>
        </is>
      </c>
      <c r="B23" s="77" t="inlineStr">
        <is>
          <t>3.92  &gt; 1.0  ⚠</t>
        </is>
      </c>
      <c r="C23" s="105" t="inlineStr">
        <is>
          <t>UNSTABLE — explains 6–8 person queues</t>
        </is>
      </c>
      <c r="D23" s="121" t="n"/>
      <c r="E23" s="121" t="n"/>
      <c r="F23" s="121" t="n"/>
      <c r="G23" s="122" t="n"/>
    </row>
    <row r="24"/>
    <row r="25" ht="19.5" customHeight="1">
      <c r="A25" s="12" t="inlineStr">
        <is>
          <t>C — Recommendation</t>
        </is>
      </c>
      <c r="B25" s="121" t="n"/>
      <c r="C25" s="121" t="n"/>
      <c r="D25" s="121" t="n"/>
      <c r="E25" s="121" t="n"/>
      <c r="F25" s="121" t="n"/>
      <c r="G25" s="122" t="n"/>
    </row>
    <row r="26" ht="36" customHeight="1">
      <c r="A26" s="110" t="inlineStr">
        <is>
          <t>Finding</t>
        </is>
      </c>
      <c r="B26" s="106" t="inlineStr">
        <is>
          <t>λ_full (4.06) &gt;&gt; μ (1.03) → single server overloaded at peak.</t>
        </is>
      </c>
      <c r="C26" s="121" t="n"/>
      <c r="D26" s="121" t="n"/>
      <c r="E26" s="121" t="n"/>
      <c r="F26" s="121" t="n"/>
      <c r="G26" s="122" t="n"/>
    </row>
    <row r="27" ht="36" customHeight="1">
      <c r="A27" s="110" t="inlineStr">
        <is>
          <t>Action</t>
        </is>
      </c>
      <c r="B27" s="107" t="inlineStr">
        <is>
          <t>Dedicated Tea/Naan station or 2nd server during 12:00–14:00 → ~60% wait reduction</t>
        </is>
      </c>
      <c r="C27" s="121" t="n"/>
      <c r="D27" s="121" t="n"/>
      <c r="E27" s="121" t="n"/>
      <c r="F27" s="121" t="n"/>
      <c r="G27" s="122" t="n"/>
    </row>
  </sheetData>
  <mergeCells count="24">
    <mergeCell ref="C6:G6"/>
    <mergeCell ref="A4:G4"/>
    <mergeCell ref="C5:G5"/>
    <mergeCell ref="C14:G14"/>
    <mergeCell ref="C20:G20"/>
    <mergeCell ref="C10:G10"/>
    <mergeCell ref="C22:G22"/>
    <mergeCell ref="C9:G9"/>
    <mergeCell ref="C21:G21"/>
    <mergeCell ref="A1:G1"/>
    <mergeCell ref="C12:G12"/>
    <mergeCell ref="C11:G11"/>
    <mergeCell ref="A16:G16"/>
    <mergeCell ref="B26:G26"/>
    <mergeCell ref="A25:G25"/>
    <mergeCell ref="C23:G23"/>
    <mergeCell ref="C8:G8"/>
    <mergeCell ref="C17:G17"/>
    <mergeCell ref="C7:G7"/>
    <mergeCell ref="B27:G27"/>
    <mergeCell ref="C19:G19"/>
    <mergeCell ref="A2:G2"/>
    <mergeCell ref="C13:G13"/>
    <mergeCell ref="C18:G18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opLeftCell="A33" zoomScale="119" zoomScaleNormal="119" workbookViewId="0">
      <selection activeCell="G43" sqref="G43"/>
    </sheetView>
  </sheetViews>
  <sheetFormatPr baseColWidth="8" defaultColWidth="8.6640625" defaultRowHeight="14.4"/>
  <cols>
    <col width="18" customWidth="1" min="1" max="1"/>
    <col width="20" customWidth="1" min="2" max="2"/>
    <col width="12" customWidth="1" min="3" max="3"/>
    <col width="86.21875" customWidth="1" min="4" max="4"/>
    <col width="12" customWidth="1" min="5" max="5"/>
    <col width="11.77734375" customWidth="1" min="6" max="6"/>
    <col width="11.109375" customWidth="1" min="7" max="7"/>
    <col hidden="1" width="0.21875" customWidth="1" min="8" max="8"/>
  </cols>
  <sheetData>
    <row r="1" ht="27.75" customHeight="1">
      <c r="A1" s="108" t="inlineStr">
        <is>
          <t>SHEET 9 — KEY FINDINGS &amp; RECOMMENDATION SUMMARY  |  GIKAFE</t>
        </is>
      </c>
    </row>
    <row r="2" ht="15.75" customHeight="1">
      <c r="A2" s="109" t="inlineStr">
        <is>
          <t>One-page summary  |  Fri 511 / Sat 483 / Sun 467 customers  |  Window: 12:00–14:00</t>
        </is>
      </c>
    </row>
    <row r="3"/>
    <row r="4" ht="21.75" customHeight="1">
      <c r="A4" s="110" t="inlineStr">
        <is>
          <t>A — DEMAND SNAPSHOT  (Fri 511 / Sat 483 / Sun 467)</t>
        </is>
      </c>
      <c r="B4" s="121" t="n"/>
      <c r="C4" s="121" t="n"/>
      <c r="D4" s="121" t="n"/>
      <c r="E4" s="121" t="n"/>
      <c r="F4" s="121" t="n"/>
      <c r="G4" s="121" t="n"/>
      <c r="H4" s="122" t="n"/>
    </row>
    <row r="5" ht="19.5" customHeight="1">
      <c r="A5" s="19" t="inlineStr">
        <is>
          <t>#</t>
        </is>
      </c>
      <c r="B5" s="19" t="inlineStr">
        <is>
          <t>Item</t>
        </is>
      </c>
      <c r="C5" s="19" t="inlineStr">
        <is>
          <t>Friday</t>
        </is>
      </c>
      <c r="D5" s="19" t="inlineStr">
        <is>
          <t>Saturday</t>
        </is>
      </c>
      <c r="E5" s="19" t="inlineStr">
        <is>
          <t>Sunday</t>
        </is>
      </c>
      <c r="F5" s="19" t="inlineStr">
        <is>
          <t>3-Day Avg</t>
        </is>
      </c>
      <c r="G5" s="122" t="n"/>
      <c r="H5" s="79" t="n"/>
    </row>
    <row r="6" ht="19.5" customHeight="1">
      <c r="A6" s="15" t="n">
        <v>1</v>
      </c>
      <c r="B6" s="17" t="inlineStr">
        <is>
          <t>Naan</t>
        </is>
      </c>
      <c r="C6" s="15" t="n">
        <v>62</v>
      </c>
      <c r="D6" s="15" t="n">
        <v>64</v>
      </c>
      <c r="E6" s="15" t="n">
        <v>63</v>
      </c>
      <c r="F6" s="15" t="n">
        <v>63</v>
      </c>
      <c r="G6" s="122" t="n"/>
      <c r="H6" s="79" t="n"/>
    </row>
    <row r="7" ht="19.5" customHeight="1">
      <c r="A7" s="16" t="n">
        <v>2</v>
      </c>
      <c r="B7" s="18" t="inlineStr">
        <is>
          <t>Tea / Chai</t>
        </is>
      </c>
      <c r="C7" s="16" t="n">
        <v>50</v>
      </c>
      <c r="D7" s="16" t="n">
        <v>52</v>
      </c>
      <c r="E7" s="16" t="n">
        <v>50</v>
      </c>
      <c r="F7" s="16" t="n">
        <v>50.7</v>
      </c>
      <c r="G7" s="122" t="n"/>
      <c r="H7" s="79" t="n"/>
    </row>
    <row r="8" ht="19.5" customHeight="1">
      <c r="A8" s="15" t="n">
        <v>3</v>
      </c>
      <c r="B8" s="17" t="inlineStr">
        <is>
          <t>Chicken Biryani</t>
        </is>
      </c>
      <c r="C8" s="15" t="n">
        <v>45</v>
      </c>
      <c r="D8" s="15" t="n">
        <v>43</v>
      </c>
      <c r="E8" s="15" t="n">
        <v>45</v>
      </c>
      <c r="F8" s="15" t="n">
        <v>44.3</v>
      </c>
      <c r="G8" s="122" t="n"/>
      <c r="H8" s="79" t="n"/>
    </row>
    <row r="9" ht="19.5" customHeight="1">
      <c r="A9" s="16" t="n">
        <v>4</v>
      </c>
      <c r="B9" s="18" t="inlineStr">
        <is>
          <t>Daal Chawal</t>
        </is>
      </c>
      <c r="C9" s="16" t="n">
        <v>48</v>
      </c>
      <c r="D9" s="16" t="n">
        <v>43</v>
      </c>
      <c r="E9" s="16" t="n">
        <v>42</v>
      </c>
      <c r="F9" s="16" t="n">
        <v>44.3</v>
      </c>
      <c r="G9" s="122" t="n"/>
      <c r="H9" s="79" t="n"/>
    </row>
    <row r="10" ht="19.5" customHeight="1">
      <c r="A10" s="15" t="n">
        <v>5</v>
      </c>
      <c r="B10" s="17" t="inlineStr">
        <is>
          <t>Mineral Water</t>
        </is>
      </c>
      <c r="C10" s="15" t="n">
        <v>44</v>
      </c>
      <c r="D10" s="15" t="n">
        <v>39</v>
      </c>
      <c r="E10" s="15" t="n">
        <v>40</v>
      </c>
      <c r="F10" s="15" t="n">
        <v>41</v>
      </c>
      <c r="G10" s="122" t="n"/>
      <c r="H10" s="79" t="n"/>
    </row>
    <row r="11"/>
    <row r="12" ht="21.75" customHeight="1">
      <c r="A12" s="110" t="inlineStr">
        <is>
          <t>B — FORECASTING  (Day 11 from Days 8–10)</t>
        </is>
      </c>
      <c r="B12" s="121" t="n"/>
      <c r="C12" s="121" t="n"/>
      <c r="D12" s="121" t="n"/>
      <c r="E12" s="121" t="n"/>
      <c r="F12" s="121" t="n"/>
      <c r="G12" s="121" t="n"/>
      <c r="H12" s="122" t="n"/>
    </row>
    <row r="13" ht="19.5" customHeight="1">
      <c r="A13" s="19" t="inlineStr">
        <is>
          <t>#</t>
        </is>
      </c>
      <c r="B13" s="19" t="inlineStr">
        <is>
          <t>Item</t>
        </is>
      </c>
      <c r="C13" s="19" t="inlineStr">
        <is>
          <t>SMA</t>
        </is>
      </c>
      <c r="D13" s="19" t="inlineStr">
        <is>
          <t>WMA</t>
        </is>
      </c>
      <c r="E13" s="19" t="inlineStr">
        <is>
          <t>ES (α=0.3)</t>
        </is>
      </c>
      <c r="F13" s="19" t="inlineStr">
        <is>
          <t>Best Method</t>
        </is>
      </c>
      <c r="G13" s="19" t="inlineStr">
        <is>
          <t>MAPE %</t>
        </is>
      </c>
      <c r="H13" s="79" t="n"/>
    </row>
    <row r="14" ht="19.5" customHeight="1">
      <c r="A14" s="15" t="n">
        <v>1</v>
      </c>
      <c r="B14" s="17" t="inlineStr">
        <is>
          <t>Naan</t>
        </is>
      </c>
      <c r="C14" s="15" t="n">
        <v>63</v>
      </c>
      <c r="D14" s="15" t="n">
        <v>63.1</v>
      </c>
      <c r="E14" s="15" t="n">
        <v>62.2</v>
      </c>
      <c r="F14" s="80" t="inlineStr">
        <is>
          <t>SMA</t>
        </is>
      </c>
      <c r="G14" s="15" t="n">
        <v>0</v>
      </c>
      <c r="H14" s="79" t="n"/>
    </row>
    <row r="15" ht="19.5" customHeight="1">
      <c r="A15" s="16" t="n">
        <v>2</v>
      </c>
      <c r="B15" s="18" t="inlineStr">
        <is>
          <t>Tea / Chai</t>
        </is>
      </c>
      <c r="C15" s="16" t="n">
        <v>50.7</v>
      </c>
      <c r="D15" s="16" t="n">
        <v>50.6</v>
      </c>
      <c r="E15" s="16" t="n">
        <v>50.6</v>
      </c>
      <c r="F15" s="80" t="inlineStr">
        <is>
          <t>WMA</t>
        </is>
      </c>
      <c r="G15" s="16" t="n">
        <v>1.2</v>
      </c>
      <c r="H15" s="79" t="n"/>
    </row>
    <row r="16" ht="19.5" customHeight="1">
      <c r="A16" s="15" t="n">
        <v>3</v>
      </c>
      <c r="B16" s="17" t="inlineStr">
        <is>
          <t>Chicken Biryani</t>
        </is>
      </c>
      <c r="C16" s="15" t="n">
        <v>44.3</v>
      </c>
      <c r="D16" s="15" t="n">
        <v>44.4</v>
      </c>
      <c r="E16" s="15" t="n">
        <v>45.2</v>
      </c>
      <c r="F16" s="80" t="inlineStr">
        <is>
          <t>ES</t>
        </is>
      </c>
      <c r="G16" s="15" t="n">
        <v>0.4</v>
      </c>
      <c r="H16" s="79" t="n"/>
    </row>
    <row r="17" ht="19.5" customHeight="1">
      <c r="A17" s="16" t="n">
        <v>4</v>
      </c>
      <c r="B17" s="18" t="inlineStr">
        <is>
          <t>Daal Chawal</t>
        </is>
      </c>
      <c r="C17" s="16" t="n">
        <v>44.3</v>
      </c>
      <c r="D17" s="16" t="n">
        <v>43.5</v>
      </c>
      <c r="E17" s="16" t="n">
        <v>43.6</v>
      </c>
      <c r="F17" s="80" t="inlineStr">
        <is>
          <t>WMA</t>
        </is>
      </c>
      <c r="G17" s="16" t="n">
        <v>3.6</v>
      </c>
      <c r="H17" s="79" t="n"/>
    </row>
    <row r="18" ht="19.5" customHeight="1">
      <c r="A18" s="15" t="n">
        <v>5</v>
      </c>
      <c r="B18" s="17" t="inlineStr">
        <is>
          <t>Mineral Water</t>
        </is>
      </c>
      <c r="C18" s="15" t="n">
        <v>41</v>
      </c>
      <c r="D18" s="15" t="n">
        <v>40.5</v>
      </c>
      <c r="E18" s="15" t="n">
        <v>41.5</v>
      </c>
      <c r="F18" s="80" t="inlineStr">
        <is>
          <t>WMA</t>
        </is>
      </c>
      <c r="G18" s="15" t="n">
        <v>1.2</v>
      </c>
      <c r="H18" s="79" t="n"/>
    </row>
    <row r="19" ht="19.5" customHeight="1">
      <c r="A19" s="111" t="inlineStr">
        <is>
          <t>→ WMA recommended for daily ordering (lowest avg MAPE)</t>
        </is>
      </c>
      <c r="B19" s="121" t="n"/>
      <c r="C19" s="121" t="n"/>
      <c r="D19" s="121" t="n"/>
      <c r="E19" s="121" t="n"/>
      <c r="F19" s="121" t="n"/>
      <c r="G19" s="121" t="n"/>
      <c r="H19" s="122" t="n"/>
    </row>
    <row r="20"/>
    <row r="21" ht="21.75" customHeight="1">
      <c r="A21" s="110" t="inlineStr">
        <is>
          <t>C — ABC CLASSIFICATION</t>
        </is>
      </c>
      <c r="B21" s="121" t="n"/>
      <c r="C21" s="121" t="n"/>
      <c r="D21" s="121" t="n"/>
      <c r="E21" s="121" t="n"/>
      <c r="F21" s="121" t="n"/>
      <c r="G21" s="121" t="n"/>
      <c r="H21" s="122" t="n"/>
    </row>
    <row r="22" ht="19.5" customHeight="1">
      <c r="A22" s="19" t="inlineStr">
        <is>
          <t>Class</t>
        </is>
      </c>
      <c r="B22" s="19" t="inlineStr">
        <is>
          <t># Items</t>
        </is>
      </c>
      <c r="C22" s="19" t="inlineStr">
        <is>
          <t>% Ann. Value</t>
        </is>
      </c>
      <c r="D22" s="19" t="inlineStr">
        <is>
          <t>Key Items</t>
        </is>
      </c>
      <c r="E22" s="121" t="n"/>
      <c r="F22" s="121" t="n"/>
      <c r="G22" s="122" t="n"/>
      <c r="H22" s="79" t="n"/>
    </row>
    <row r="23" ht="21.75" customHeight="1">
      <c r="A23" s="81" t="inlineStr">
        <is>
          <t>A</t>
        </is>
      </c>
      <c r="B23" s="67" t="n">
        <v>7</v>
      </c>
      <c r="C23" s="67" t="inlineStr">
        <is>
          <t>~70%</t>
        </is>
      </c>
      <c r="D23" s="112" t="inlineStr">
        <is>
          <t>Chicken Biryani, Chicken Karhai + Rice, Daal Chawal, Chicken Tikka, Chicken Burger, Tea / Chai, Vegetable Pulao</t>
        </is>
      </c>
      <c r="E23" s="121" t="n"/>
      <c r="F23" s="121" t="n"/>
      <c r="G23" s="122" t="n"/>
      <c r="H23" s="79" t="n"/>
    </row>
    <row r="24" ht="21.75" customHeight="1">
      <c r="A24" s="82" t="inlineStr">
        <is>
          <t>B</t>
        </is>
      </c>
      <c r="B24" s="68" t="n">
        <v>6</v>
      </c>
      <c r="C24" s="68" t="inlineStr">
        <is>
          <t>~20%</t>
        </is>
      </c>
      <c r="D24" s="113" t="inlineStr">
        <is>
          <t>Cold Drink · Chicken Tikka · Egg Omelette · Raita · Slice Juice</t>
        </is>
      </c>
      <c r="E24" s="121" t="n"/>
      <c r="F24" s="121" t="n"/>
      <c r="G24" s="122" t="n"/>
      <c r="H24" s="79" t="n"/>
    </row>
    <row r="25" ht="21.75" customHeight="1">
      <c r="A25" s="83" t="inlineStr">
        <is>
          <t>C</t>
        </is>
      </c>
      <c r="B25" s="69" t="n">
        <v>3</v>
      </c>
      <c r="C25" s="69" t="inlineStr">
        <is>
          <t>~10%</t>
        </is>
      </c>
      <c r="D25" s="114" t="inlineStr">
        <is>
          <t>Salad Plate · Vegetable Pulao · Chicken Nuggets</t>
        </is>
      </c>
      <c r="E25" s="121" t="n"/>
      <c r="F25" s="121" t="n"/>
      <c r="G25" s="122" t="n"/>
      <c r="H25" s="79" t="n"/>
    </row>
    <row r="26"/>
    <row r="27" ht="21.75" customHeight="1">
      <c r="A27" s="110" t="inlineStr">
        <is>
          <t>D — EOQ &amp; ROP  (Top 3 Class A Items)</t>
        </is>
      </c>
      <c r="B27" s="121" t="n"/>
      <c r="C27" s="121" t="n"/>
      <c r="D27" s="121" t="n"/>
      <c r="E27" s="121" t="n"/>
      <c r="F27" s="121" t="n"/>
      <c r="G27" s="121" t="n"/>
      <c r="H27" s="122" t="n"/>
    </row>
    <row r="28" ht="19.5" customHeight="1">
      <c r="A28" s="19" t="inlineStr">
        <is>
          <t>#</t>
        </is>
      </c>
      <c r="B28" s="19" t="inlineStr">
        <is>
          <t>Item</t>
        </is>
      </c>
      <c r="C28" s="19" t="inlineStr">
        <is>
          <t>EOQ (units)</t>
        </is>
      </c>
      <c r="D28" s="19" t="inlineStr">
        <is>
          <t>Orders/Year</t>
        </is>
      </c>
      <c r="E28" s="19" t="inlineStr">
        <is>
          <t>ROP (units)</t>
        </is>
      </c>
      <c r="F28" s="19" t="inlineStr">
        <is>
          <t>Order Every</t>
        </is>
      </c>
      <c r="G28" s="122" t="n"/>
      <c r="H28" s="79" t="n"/>
    </row>
    <row r="29" ht="19.5" customHeight="1">
      <c r="A29" s="15" t="n">
        <v>1</v>
      </c>
      <c r="B29" s="17" t="inlineStr">
        <is>
          <t>Chicken Biryani</t>
        </is>
      </c>
      <c r="C29" s="80" t="n">
        <v>481</v>
      </c>
      <c r="D29" s="15" t="n">
        <v>28.8</v>
      </c>
      <c r="E29" s="67" t="n">
        <v>66</v>
      </c>
      <c r="F29" s="15" t="inlineStr">
        <is>
          <t>~11 days</t>
        </is>
      </c>
      <c r="G29" s="122" t="n"/>
      <c r="H29" s="79" t="n"/>
    </row>
    <row r="30" ht="19.5" customHeight="1">
      <c r="A30" s="16" t="n">
        <v>2</v>
      </c>
      <c r="B30" s="18" t="inlineStr">
        <is>
          <t>Chicken Karhai + Rice</t>
        </is>
      </c>
      <c r="C30" s="80" t="n">
        <v>273</v>
      </c>
      <c r="D30" s="16" t="n">
        <v>34</v>
      </c>
      <c r="E30" s="67" t="n">
        <v>45</v>
      </c>
      <c r="F30" s="16" t="inlineStr">
        <is>
          <t>~9 days</t>
        </is>
      </c>
      <c r="G30" s="122" t="n"/>
      <c r="H30" s="79" t="n"/>
    </row>
    <row r="31" ht="19.5" customHeight="1">
      <c r="A31" s="15" t="n">
        <v>3</v>
      </c>
      <c r="B31" s="17" t="inlineStr">
        <is>
          <t>Daal Chawal</t>
        </is>
      </c>
      <c r="C31" s="80" t="n">
        <v>430</v>
      </c>
      <c r="D31" s="15" t="n">
        <v>32.3</v>
      </c>
      <c r="E31" s="67" t="n">
        <v>66</v>
      </c>
      <c r="F31" s="15" t="inlineStr">
        <is>
          <t>~10 days</t>
        </is>
      </c>
      <c r="G31" s="122" t="n"/>
      <c r="H31" s="79" t="n"/>
    </row>
    <row r="32"/>
    <row r="33" ht="21.75" customHeight="1">
      <c r="A33" s="110" t="inlineStr">
        <is>
          <t>E — QUEUEING  (M/M/1, λ=0.142/min, μ=1.034/min, 120-min window)</t>
        </is>
      </c>
      <c r="B33" s="121" t="n"/>
      <c r="C33" s="121" t="n"/>
      <c r="D33" s="121" t="n"/>
      <c r="E33" s="121" t="n"/>
      <c r="F33" s="121" t="n"/>
      <c r="G33" s="121" t="n"/>
      <c r="H33" s="122" t="n"/>
    </row>
    <row r="34" ht="19.5" customHeight="1">
      <c r="A34" s="19" t="inlineStr">
        <is>
          <t>Metric</t>
        </is>
      </c>
      <c r="B34" s="19" t="inlineStr">
        <is>
          <t>Value</t>
        </is>
      </c>
      <c r="C34" s="19" t="inlineStr">
        <is>
          <t>Metric</t>
        </is>
      </c>
      <c r="D34" s="19" t="inlineStr">
        <is>
          <t>Value</t>
        </is>
      </c>
      <c r="E34" s="121" t="n"/>
      <c r="F34" s="121" t="n"/>
      <c r="G34" s="122" t="n"/>
      <c r="H34" s="79" t="n"/>
    </row>
    <row r="35" ht="19.5" customHeight="1">
      <c r="A35" s="15" t="inlineStr">
        <is>
          <t>ρ (sample)</t>
        </is>
      </c>
      <c r="B35" s="15" t="inlineStr">
        <is>
          <t>0.137</t>
        </is>
      </c>
      <c r="C35" s="15" t="inlineStr">
        <is>
          <t>Lq</t>
        </is>
      </c>
      <c r="D35" s="15" t="inlineStr">
        <is>
          <t>0.022 cust</t>
        </is>
      </c>
      <c r="E35" s="121" t="n"/>
      <c r="F35" s="121" t="n"/>
      <c r="G35" s="122" t="n"/>
      <c r="H35" s="79" t="n"/>
    </row>
    <row r="36" ht="19.5" customHeight="1">
      <c r="A36" s="16" t="inlineStr">
        <is>
          <t>Wq</t>
        </is>
      </c>
      <c r="B36" s="16" t="inlineStr">
        <is>
          <t>9 sec</t>
        </is>
      </c>
      <c r="C36" s="16" t="inlineStr">
        <is>
          <t>W</t>
        </is>
      </c>
      <c r="D36" s="16" t="inlineStr">
        <is>
          <t>67 sec</t>
        </is>
      </c>
      <c r="E36" s="121" t="n"/>
      <c r="F36" s="121" t="n"/>
      <c r="G36" s="122" t="n"/>
      <c r="H36" s="79" t="n"/>
    </row>
    <row r="37" ht="19.5" customHeight="1">
      <c r="A37" s="84" t="inlineStr">
        <is>
          <t>ρ (full load)</t>
        </is>
      </c>
      <c r="B37" s="115" t="inlineStr">
        <is>
          <t>3.92 ⚠</t>
        </is>
      </c>
      <c r="C37" s="84" t="inlineStr">
        <is>
          <t>Status</t>
        </is>
      </c>
      <c r="D37" s="115" t="inlineStr">
        <is>
          <t>UNSTABLE at peak</t>
        </is>
      </c>
      <c r="E37" s="121" t="n"/>
      <c r="F37" s="121" t="n"/>
      <c r="G37" s="122" t="n"/>
      <c r="H37" s="79" t="n"/>
    </row>
    <row r="38"/>
    <row r="39"/>
    <row r="40" ht="24" customHeight="1">
      <c r="A40" s="116" t="inlineStr">
        <is>
          <t>F — RECOMMENDATION</t>
        </is>
      </c>
      <c r="B40" s="121" t="n"/>
      <c r="C40" s="121" t="n"/>
      <c r="D40" s="121" t="n"/>
      <c r="E40" s="121" t="n"/>
      <c r="F40" s="121" t="n"/>
      <c r="G40" s="121" t="n"/>
      <c r="H40" s="122" t="n"/>
      <c r="I40" s="86" t="n"/>
    </row>
    <row r="41" ht="39.75" customHeight="1">
      <c r="A41" s="87" t="inlineStr">
        <is>
          <t>Inventory</t>
        </is>
      </c>
      <c r="B41" s="106" t="inlineStr">
        <is>
          <t>Use WMA forecasts for daily orders. Trigger at ROP (e.g. Tea at 82 units). Reduces stockout and overstock.</t>
        </is>
      </c>
      <c r="C41" s="121" t="n"/>
      <c r="D41" s="121" t="n"/>
      <c r="E41" s="121" t="n"/>
      <c r="F41" s="121" t="n"/>
      <c r="G41" s="121" t="n"/>
      <c r="H41" s="122" t="n"/>
      <c r="I41" s="86" t="n"/>
    </row>
    <row r="42" ht="39.75" customHeight="1">
      <c r="A42" s="87" t="inlineStr">
        <is>
          <t>Queue</t>
        </is>
      </c>
      <c r="B42" s="107" t="inlineStr">
        <is>
          <t>Add Tea/Naan batch station or 2nd server 12:00–14:00. M/M/2 predicts ~60% wait reduction.</t>
        </is>
      </c>
      <c r="C42" s="121" t="n"/>
      <c r="D42" s="121" t="n"/>
      <c r="E42" s="121" t="n"/>
      <c r="F42" s="121" t="n"/>
      <c r="G42" s="121" t="n"/>
      <c r="H42" s="122" t="n"/>
      <c r="I42" s="86" t="n"/>
    </row>
  </sheetData>
  <mergeCells count="29">
    <mergeCell ref="F29:G29"/>
    <mergeCell ref="F10:G10"/>
    <mergeCell ref="D25:G25"/>
    <mergeCell ref="D24:G24"/>
    <mergeCell ref="F6:G6"/>
    <mergeCell ref="A1:H1"/>
    <mergeCell ref="F7:G7"/>
    <mergeCell ref="D23:G23"/>
    <mergeCell ref="F30:G30"/>
    <mergeCell ref="B41:H41"/>
    <mergeCell ref="D35:G35"/>
    <mergeCell ref="F5:G5"/>
    <mergeCell ref="D34:G34"/>
    <mergeCell ref="A27:H27"/>
    <mergeCell ref="F8:G8"/>
    <mergeCell ref="D22:G22"/>
    <mergeCell ref="A12:H12"/>
    <mergeCell ref="A21:H21"/>
    <mergeCell ref="D36:G36"/>
    <mergeCell ref="A2:H2"/>
    <mergeCell ref="F31:G31"/>
    <mergeCell ref="A33:H33"/>
    <mergeCell ref="F28:G28"/>
    <mergeCell ref="B42:H42"/>
    <mergeCell ref="F9:G9"/>
    <mergeCell ref="A4:H4"/>
    <mergeCell ref="A19:H19"/>
    <mergeCell ref="D37:G37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zoomScale="111" zoomScaleNormal="100" workbookViewId="0">
      <selection activeCell="F33" sqref="F33"/>
    </sheetView>
  </sheetViews>
  <sheetFormatPr baseColWidth="8" defaultColWidth="8.6640625" defaultRowHeight="14.4"/>
  <cols>
    <col width="5" customWidth="1" min="1" max="1"/>
    <col width="92" customWidth="1" min="2" max="2"/>
  </cols>
  <sheetData>
    <row r="1" ht="25.5" customHeight="1">
      <c r="A1" s="3" t="inlineStr">
        <is>
          <t>SHEET 10 — FIELD NOTES, ASSUMPTIONS &amp; LIMITATIONS</t>
        </is>
      </c>
    </row>
    <row r="2"/>
    <row r="3" ht="7.5" customHeight="1"/>
    <row r="4" ht="21.75" customHeight="1">
      <c r="A4" s="99" t="inlineStr">
        <is>
          <t>DATA COLLECTION</t>
        </is>
      </c>
      <c r="B4" s="121" t="n"/>
      <c r="C4" s="121" t="n"/>
      <c r="D4" s="121" t="n"/>
      <c r="E4" s="121" t="n"/>
      <c r="F4" s="122" t="n"/>
    </row>
    <row r="5" ht="27.75" customHeight="1">
      <c r="A5" s="88" t="inlineStr">
        <is>
          <t>▶</t>
        </is>
      </c>
      <c r="B5" s="117" t="inlineStr">
        <is>
          <t>2 students stationed at GIKAFE main counter with stopwatch-equipped phones</t>
        </is>
      </c>
      <c r="C5" s="121" t="n"/>
      <c r="D5" s="121" t="n"/>
      <c r="E5" s="121" t="n"/>
      <c r="F5" s="122" t="n"/>
    </row>
    <row r="6" ht="27.75" customHeight="1">
      <c r="A6" s="88" t="inlineStr">
        <is>
          <t>▶</t>
        </is>
      </c>
      <c r="B6" s="117" t="inlineStr">
        <is>
          <t>Observation window: 12:00–14:00 (2 hours) — confirmed as peak lunch period</t>
        </is>
      </c>
      <c r="C6" s="121" t="n"/>
      <c r="D6" s="121" t="n"/>
      <c r="E6" s="121" t="n"/>
      <c r="F6" s="122" t="n"/>
    </row>
    <row r="7" ht="27.75" customHeight="1">
      <c r="A7" s="88" t="inlineStr">
        <is>
          <t>▶</t>
        </is>
      </c>
      <c r="B7" s="117" t="inlineStr">
        <is>
          <t>End-of-day count cross-checked with GIKAFE supervisor — validated and cooperative</t>
        </is>
      </c>
      <c r="C7" s="121" t="n"/>
      <c r="D7" s="121" t="n"/>
      <c r="E7" s="121" t="n"/>
      <c r="F7" s="122" t="n"/>
    </row>
    <row r="8" ht="27.75" customHeight="1">
      <c r="A8" s="89" t="inlineStr">
        <is>
          <t>·</t>
        </is>
      </c>
      <c r="B8" s="118" t="inlineStr">
        <is>
          <t>One student timed arrivals; second student timed service durations simultaneously</t>
        </is>
      </c>
      <c r="C8" s="121" t="n"/>
      <c r="D8" s="121" t="n"/>
      <c r="E8" s="121" t="n"/>
      <c r="F8" s="122" t="n"/>
    </row>
    <row r="9" ht="27.75" customHeight="1">
      <c r="A9" s="89" t="inlineStr">
        <is>
          <t>·</t>
        </is>
      </c>
      <c r="B9" s="118" t="inlineStr">
        <is>
          <t>51 timed arrival/service records across 3 days (17/day)</t>
        </is>
      </c>
      <c r="C9" s="121" t="n"/>
      <c r="D9" s="121" t="n"/>
      <c r="E9" s="121" t="n"/>
      <c r="F9" s="122" t="n"/>
    </row>
    <row r="10" ht="27.75" customHeight="1">
      <c r="A10" s="88" t="inlineStr">
        <is>
          <t>▶</t>
        </is>
      </c>
      <c r="B10" s="117" t="inlineStr">
        <is>
          <t>Days: Friday 8-May (511), Saturday 9-May (483), Sunday 10-May (467) customers</t>
        </is>
      </c>
      <c r="C10" s="121" t="n"/>
      <c r="D10" s="121" t="n"/>
      <c r="E10" s="121" t="n"/>
      <c r="F10" s="122" t="n"/>
    </row>
    <row r="11" ht="7.5" customHeight="1"/>
    <row r="12" ht="21.75" customHeight="1">
      <c r="A12" s="99" t="inlineStr">
        <is>
          <t>KEY ASSUMPTIONS</t>
        </is>
      </c>
      <c r="B12" s="121" t="n"/>
      <c r="C12" s="121" t="n"/>
      <c r="D12" s="121" t="n"/>
      <c r="E12" s="121" t="n"/>
      <c r="F12" s="122" t="n"/>
    </row>
    <row r="13" ht="27.75" customHeight="1">
      <c r="A13" s="88" t="inlineStr">
        <is>
          <t>▶</t>
        </is>
      </c>
      <c r="B13" s="117" t="inlineStr">
        <is>
          <t>313 working days/year — GIKAFE open 7 days; closed on national + institute holidays</t>
        </is>
      </c>
      <c r="C13" s="121" t="n"/>
      <c r="D13" s="121" t="n"/>
      <c r="E13" s="121" t="n"/>
      <c r="F13" s="122" t="n"/>
    </row>
    <row r="14" ht="27.75" customHeight="1">
      <c r="A14" s="88" t="inlineStr">
        <is>
          <t>▶</t>
        </is>
      </c>
      <c r="B14" s="117" t="inlineStr">
        <is>
          <t>Sunday = working day in all EOQ/ROP calculations</t>
        </is>
      </c>
      <c r="C14" s="121" t="n"/>
      <c r="D14" s="121" t="n"/>
      <c r="E14" s="121" t="n"/>
      <c r="F14" s="122" t="n"/>
    </row>
    <row r="15" ht="27.75" customHeight="1">
      <c r="A15" s="88" t="inlineStr">
        <is>
          <t>▶</t>
        </is>
      </c>
      <c r="B15" s="117" t="inlineStr">
        <is>
          <t>Lead time = 1 day — local Topi/Swabi supplier delivers next morning</t>
        </is>
      </c>
      <c r="C15" s="121" t="n"/>
      <c r="D15" s="121" t="n"/>
      <c r="E15" s="121" t="n"/>
      <c r="F15" s="122" t="n"/>
    </row>
    <row r="16" ht="27.75" customHeight="1">
      <c r="A16" s="88" t="inlineStr">
        <is>
          <t>▶</t>
        </is>
      </c>
      <c r="B16" s="117" t="inlineStr">
        <is>
          <t>Holding cost = 15% of unit price/year (refrigeration + spoilage)</t>
        </is>
      </c>
      <c r="C16" s="121" t="n"/>
      <c r="D16" s="121" t="n"/>
      <c r="E16" s="121" t="n"/>
      <c r="F16" s="122" t="n"/>
    </row>
    <row r="17" ht="27.75" customHeight="1">
      <c r="A17" s="88" t="inlineStr">
        <is>
          <t>▶</t>
        </is>
      </c>
      <c r="B17" s="117" t="inlineStr">
        <is>
          <t>Safety stock = 0.5 × d̄  (~12-hr demand buffer)</t>
        </is>
      </c>
      <c r="C17" s="121" t="n"/>
      <c r="D17" s="121" t="n"/>
      <c r="E17" s="121" t="n"/>
      <c r="F17" s="122" t="n"/>
    </row>
    <row r="18" ht="27.75" customHeight="1">
      <c r="A18" s="89" t="inlineStr">
        <is>
          <t>·</t>
        </is>
      </c>
      <c r="B18" s="118" t="inlineStr">
        <is>
          <t>Friday spike: Jummah prayer + students not yet travelling home</t>
        </is>
      </c>
      <c r="C18" s="121" t="n"/>
      <c r="D18" s="121" t="n"/>
      <c r="E18" s="121" t="n"/>
      <c r="F18" s="122" t="n"/>
    </row>
    <row r="19" ht="7.5" customHeight="1"/>
    <row r="20" ht="21.75" customHeight="1">
      <c r="A20" s="99" t="inlineStr">
        <is>
          <t>LIMITATIONS</t>
        </is>
      </c>
      <c r="B20" s="121" t="n"/>
      <c r="C20" s="121" t="n"/>
      <c r="D20" s="121" t="n"/>
      <c r="E20" s="121" t="n"/>
      <c r="F20" s="122" t="n"/>
    </row>
    <row r="21" ht="27.75" customHeight="1">
      <c r="A21" s="88" t="inlineStr">
        <is>
          <t>▶</t>
        </is>
      </c>
      <c r="B21" s="117" t="inlineStr">
        <is>
          <t>2-hour window is short — demand pattern outside 12:00–14:00 not captured</t>
        </is>
      </c>
      <c r="C21" s="121" t="n"/>
      <c r="D21" s="121" t="n"/>
      <c r="E21" s="121" t="n"/>
      <c r="F21" s="122" t="n"/>
    </row>
    <row r="22" ht="27.75" customHeight="1">
      <c r="A22" s="88" t="inlineStr">
        <is>
          <t>▶</t>
        </is>
      </c>
      <c r="B22" s="117" t="inlineStr">
        <is>
          <t>Balk/renege behaviour observed but not formally counted</t>
        </is>
      </c>
      <c r="C22" s="121" t="n"/>
      <c r="D22" s="121" t="n"/>
      <c r="E22" s="121" t="n"/>
      <c r="F22" s="122" t="n"/>
    </row>
    <row r="23" ht="27.75" customHeight="1">
      <c r="A23" s="89" t="inlineStr">
        <is>
          <t>·</t>
        </is>
      </c>
      <c r="B23" s="118" t="inlineStr">
        <is>
          <t>Service times at main counter only — Tea sub-counter not independently timed</t>
        </is>
      </c>
      <c r="C23" s="121" t="n"/>
      <c r="D23" s="121" t="n"/>
      <c r="E23" s="121" t="n"/>
      <c r="F23" s="122" t="n"/>
    </row>
    <row r="24" ht="27.75" customHeight="1">
      <c r="A24" s="88" t="inlineStr">
        <is>
          <t>▶</t>
        </is>
      </c>
      <c r="B24" s="117" t="inlineStr">
        <is>
          <t>Item costs from menu board — supplier invoice prices not verified</t>
        </is>
      </c>
      <c r="C24" s="121" t="n"/>
      <c r="D24" s="121" t="n"/>
      <c r="E24" s="121" t="n"/>
      <c r="F24" s="122" t="n"/>
    </row>
    <row r="25" ht="27.75" customHeight="1">
      <c r="A25" s="89" t="inlineStr">
        <is>
          <t>·</t>
        </is>
      </c>
      <c r="B25" s="118" t="inlineStr">
        <is>
          <t>M/M/1 assumes Poisson arrivals — actual arrivals may cluster post-Jummah</t>
        </is>
      </c>
      <c r="C25" s="121" t="n"/>
      <c r="D25" s="121" t="n"/>
      <c r="E25" s="121" t="n"/>
      <c r="F25" s="122" t="n"/>
    </row>
    <row r="26" ht="7.5" customHeight="1"/>
    <row r="27" ht="21.75" customHeight="1">
      <c r="A27" s="99" t="inlineStr">
        <is>
          <t>FIELD OBSERVATIONS</t>
        </is>
      </c>
      <c r="B27" s="121" t="n"/>
      <c r="C27" s="121" t="n"/>
      <c r="D27" s="121" t="n"/>
      <c r="E27" s="121" t="n"/>
      <c r="F27" s="122" t="n"/>
    </row>
    <row r="28" ht="27.75" customHeight="1">
      <c r="A28" s="88" t="inlineStr">
        <is>
          <t>▶</t>
        </is>
      </c>
      <c r="B28" s="117" t="inlineStr">
        <is>
          <t>Single server + cashier — caps throughput to ~1 customer per 58 seconds</t>
        </is>
      </c>
      <c r="C28" s="121" t="n"/>
      <c r="D28" s="121" t="n"/>
      <c r="E28" s="121" t="n"/>
      <c r="F28" s="122" t="n"/>
    </row>
    <row r="29" ht="27.75" customHeight="1">
      <c r="A29" s="88" t="inlineStr">
        <is>
          <t>▶</t>
        </is>
      </c>
      <c r="B29" s="117" t="inlineStr">
        <is>
          <t>Queues of 6–8 persons at 12:15–12:45 — confirmed peak bottleneck</t>
        </is>
      </c>
      <c r="C29" s="121" t="n"/>
      <c r="D29" s="121" t="n"/>
      <c r="E29" s="121" t="n"/>
      <c r="F29" s="122" t="n"/>
    </row>
    <row r="30" ht="27.75" customHeight="1">
      <c r="A30" s="88" t="inlineStr">
        <is>
          <t>▶</t>
        </is>
      </c>
      <c r="B30" s="117" t="inlineStr">
        <is>
          <t>Chicken Biryani: longest service (~80–95 sec) — primary bottleneck item</t>
        </is>
      </c>
      <c r="C30" s="121" t="n"/>
      <c r="D30" s="121" t="n"/>
      <c r="E30" s="121" t="n"/>
      <c r="F30" s="122" t="n"/>
    </row>
    <row r="31" ht="27.75" customHeight="1">
      <c r="A31" s="89" t="inlineStr">
        <is>
          <t>·</t>
        </is>
      </c>
      <c r="B31" s="118" t="inlineStr">
        <is>
          <t>Naan and Tea served in batches — reduces effective per-unit service time</t>
        </is>
      </c>
      <c r="C31" s="121" t="n"/>
      <c r="D31" s="121" t="n"/>
      <c r="E31" s="121" t="n"/>
      <c r="F31" s="122" t="n"/>
    </row>
    <row r="32" ht="27.75" customHeight="1">
      <c r="A32" s="89" t="inlineStr">
        <is>
          <t>·</t>
        </is>
      </c>
      <c r="B32" s="118" t="inlineStr">
        <is>
          <t>GIKAFE supervisor was cooperative — expressed interest in receiving findings</t>
        </is>
      </c>
      <c r="C32" s="121" t="n"/>
      <c r="D32" s="121" t="n"/>
      <c r="E32" s="121" t="n"/>
      <c r="F32" s="122" t="n"/>
    </row>
  </sheetData>
  <mergeCells count="27">
    <mergeCell ref="B7:F7"/>
    <mergeCell ref="B16:F16"/>
    <mergeCell ref="B25:F25"/>
    <mergeCell ref="A27:F27"/>
    <mergeCell ref="B31:F31"/>
    <mergeCell ref="A12:F12"/>
    <mergeCell ref="B22:F22"/>
    <mergeCell ref="B18:F18"/>
    <mergeCell ref="B21:F21"/>
    <mergeCell ref="B23:F23"/>
    <mergeCell ref="A4:F4"/>
    <mergeCell ref="B14:F14"/>
    <mergeCell ref="A20:F20"/>
    <mergeCell ref="B8:F8"/>
    <mergeCell ref="B17:F17"/>
    <mergeCell ref="B13:F13"/>
    <mergeCell ref="B29:F29"/>
    <mergeCell ref="B10:F10"/>
    <mergeCell ref="B28:F28"/>
    <mergeCell ref="B9:F9"/>
    <mergeCell ref="B30:F30"/>
    <mergeCell ref="B6:F6"/>
    <mergeCell ref="B24:F24"/>
    <mergeCell ref="B15:F15"/>
    <mergeCell ref="A1:F1"/>
    <mergeCell ref="B5:F5"/>
    <mergeCell ref="B32:F3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2026-05-11T07:32:23Z</dcterms:created>
  <dcterms:modified xmlns:dcterms="http://purl.org/dc/terms/" xmlns:xsi="http://www.w3.org/2001/XMLSchema-instance" xsi:type="dcterms:W3CDTF">2026-05-13T03:17:36Z</dcterms:modified>
  <cp:lastModifiedBy>u2022067</cp:lastModifiedBy>
  <cp:revision>0</cp:revision>
</cp:coreProperties>
</file>